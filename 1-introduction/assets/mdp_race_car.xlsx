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o" sheetId="1" state="visible" r:id="rId1"/>
    <sheet name="Problem" sheetId="2" state="visible" r:id="rId2"/>
    <sheet name="DP-Eval" sheetId="3" state="visible" r:id="rId3"/>
    <sheet name="DP-VI" sheetId="4" state="visible" r:id="rId4"/>
    <sheet name="Convergence" sheetId="5" state="visible" r:id="rId5"/>
    <sheet name="Analytical" sheetId="6" state="visible" r:id="rId6"/>
    <sheet name="Summary" sheetId="7" state="visible" r:id="rId7"/>
    <sheet name="MC-Episodes" sheetId="8" state="visible" r:id="rId8"/>
    <sheet name="MC-VQ" sheetId="9" state="visible" r:id="rId9"/>
    <sheet name="TD0" sheetId="10" state="visible" r:id="rId10"/>
    <sheet name="SARSA" sheetId="11" state="visible" r:id="rId11"/>
    <sheet name="QLearn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sz val="11"/>
    </font>
    <font>
      <i val="1"/>
      <color rgb="00C00000"/>
      <sz val="10"/>
    </font>
    <font>
      <name val="Courier New"/>
      <sz val="10"/>
    </font>
    <font>
      <b val="1"/>
      <color rgb="00FFFFFF"/>
      <sz val="11"/>
    </font>
    <font>
      <b val="1"/>
    </font>
    <font>
      <i val="1"/>
    </font>
    <font>
      <b val="1"/>
      <sz val="10"/>
    </font>
    <font>
      <name val="Courier New"/>
      <sz val="9"/>
    </font>
    <font>
      <b val="1"/>
      <color rgb="00C00000"/>
      <sz val="12"/>
    </font>
    <font>
      <b val="1"/>
      <sz val="11"/>
    </font>
    <font>
      <b val="1"/>
      <color rgb="00C00000"/>
      <sz val="11"/>
    </font>
    <font>
      <b val="1"/>
      <color rgb="0000B050"/>
      <sz val="11"/>
    </font>
    <font>
      <b val="1"/>
      <color rgb="002F5496"/>
    </font>
    <font>
      <sz val="10"/>
    </font>
    <font>
      <b val="1"/>
      <color rgb="0000B050"/>
      <sz val="12"/>
    </font>
    <font>
      <b val="1"/>
      <color rgb="007030A0"/>
      <sz val="12"/>
    </font>
    <font>
      <b val="1"/>
      <color rgb="00C00000"/>
    </font>
    <font>
      <b val="1"/>
      <color rgb="0000B050"/>
    </font>
    <font>
      <b val="1"/>
      <sz val="12"/>
    </font>
    <font>
      <i val="1"/>
      <sz val="10"/>
    </font>
    <font>
      <b val="1"/>
      <color rgb="00375623"/>
      <sz val="12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6" fillId="0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0" fontId="11" fillId="0" borderId="0" pivotButton="0" quotePrefix="0" xfId="0"/>
    <xf numFmtId="0" fontId="18" fillId="0" borderId="0" pivotButton="0" quotePrefix="0" xfId="0"/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22" fillId="0" borderId="0" pivotButton="0" quotePrefix="0" xfId="0"/>
    <xf numFmtId="0" fontId="11" fillId="6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7" fillId="0" borderId="0" pivotButton="0" quotePrefix="0" xfId="0"/>
    <xf numFmtId="0" fontId="1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  <col width="58" customWidth="1" min="4" max="4"/>
    <col width="14" customWidth="1" min="5" max="5"/>
    <col width="14" customWidth="1" min="6" max="6"/>
    <col width="58" customWidth="1" min="7" max="7"/>
    <col width="52" customWidth="1" min="8" max="8"/>
    <col width="14" customWidth="1" min="9" max="9"/>
    <col width="14" customWidth="1" min="10" max="10"/>
  </cols>
  <sheetData>
    <row r="1">
      <c r="A1" s="1" t="inlineStr">
        <is>
          <t>Introduction to Reinforcement Learning</t>
        </is>
      </c>
    </row>
    <row r="2"/>
    <row r="3">
      <c r="A3" s="2" t="inlineStr">
        <is>
          <t>1. What Is Reinforcement Learning?</t>
        </is>
      </c>
    </row>
    <row r="4">
      <c r="A4" s="3" t="inlineStr">
        <is>
          <t>Reinforcement Learning (RL) is a computational approach to learning from INTERACTION.</t>
        </is>
      </c>
    </row>
    <row r="5">
      <c r="A5" s="3" t="inlineStr">
        <is>
          <t>An AGENT takes ACTIONS in an ENVIRONMENT, receives REWARDS, and learns a POLICY to maximize cumulative reward over time.</t>
        </is>
      </c>
    </row>
    <row r="6">
      <c r="A6" s="3" t="inlineStr">
        <is>
          <t>Unlike supervised learning (given correct answers) or unsupervised learning (find patterns), RL learns by TRIAL AND ERROR.</t>
        </is>
      </c>
    </row>
    <row r="7">
      <c r="A7" s="3" t="inlineStr">
        <is>
          <t>The central challenge: actions have DELAYED consequences — a good action now may only pay off many steps later.</t>
        </is>
      </c>
    </row>
    <row r="8"/>
    <row r="9">
      <c r="A9" s="2" t="inlineStr">
        <is>
          <t>2. The Agent-Environment Interaction Loop</t>
        </is>
      </c>
    </row>
    <row r="10">
      <c r="A10" s="4" t="inlineStr">
        <is>
          <t>At each time step t, the agent observes state s_t, takes action a_t, receives reward r_{t+1}, and transitions to s_{t+1}.</t>
        </is>
      </c>
    </row>
    <row r="11"/>
    <row r="12">
      <c r="A12" s="5" t="inlineStr">
        <is>
          <t xml:space="preserve">                          +-----------------------------------+</t>
        </is>
      </c>
    </row>
    <row r="13">
      <c r="A13" s="5" t="inlineStr">
        <is>
          <t xml:space="preserve">                          |           ENVIRONMENT             |</t>
        </is>
      </c>
    </row>
    <row r="14">
      <c r="A14" s="5" t="inlineStr">
        <is>
          <t xml:space="preserve">                          |   (Race Car + Track Physics)      |</t>
        </is>
      </c>
    </row>
    <row r="15">
      <c r="A15" s="5" t="inlineStr">
        <is>
          <t xml:space="preserve">                          +-----------------------------------+</t>
        </is>
      </c>
    </row>
    <row r="16">
      <c r="A16" s="5" t="inlineStr">
        <is>
          <t xml:space="preserve">                            |    ^              |          |</t>
        </is>
      </c>
    </row>
    <row r="17">
      <c r="A17" s="5" t="inlineStr">
        <is>
          <t xml:space="preserve">                   s_{t+1}  |    | a_t          | r_{t+1}  | s_t</t>
        </is>
      </c>
    </row>
    <row r="18">
      <c r="A18" s="5" t="inlineStr">
        <is>
          <t xml:space="preserve">                   (next    |    | (action)     | (reward)  | (current</t>
        </is>
      </c>
    </row>
    <row r="19">
      <c r="A19" s="5" t="inlineStr">
        <is>
          <t xml:space="preserve">                    state)  |    |              |           |  state)</t>
        </is>
      </c>
    </row>
    <row r="20">
      <c r="A20" s="5" t="inlineStr">
        <is>
          <t xml:space="preserve">                            v    |              v           |</t>
        </is>
      </c>
    </row>
    <row r="21">
      <c r="A21" s="5" t="inlineStr">
        <is>
          <t xml:space="preserve">                          +-----------------------------------+</t>
        </is>
      </c>
    </row>
    <row r="22">
      <c r="A22" s="5" t="inlineStr">
        <is>
          <t xml:space="preserve">                          |             AGENT                 |</t>
        </is>
      </c>
    </row>
    <row r="23">
      <c r="A23" s="5" t="inlineStr">
        <is>
          <t xml:space="preserve">                          |   Policy: pi(a|s) -&gt; action      |</t>
        </is>
      </c>
    </row>
    <row r="24">
      <c r="A24" s="5" t="inlineStr">
        <is>
          <t xml:space="preserve">                          |   Goal: maximize sum of rewards   |</t>
        </is>
      </c>
    </row>
    <row r="25">
      <c r="A25" s="5" t="inlineStr">
        <is>
          <t xml:space="preserve">                          +-----------------------------------+</t>
        </is>
      </c>
    </row>
    <row r="26">
      <c r="A26" s="5" t="inlineStr"/>
    </row>
    <row r="27">
      <c r="A27" s="5" t="inlineStr">
        <is>
          <t xml:space="preserve">  Time:  t=0          t=1          t=2          t=3      ...</t>
        </is>
      </c>
    </row>
    <row r="28">
      <c r="A28" s="5" t="inlineStr">
        <is>
          <t xml:space="preserve">         s_0 --a_0--&gt; s_1 --a_1--&gt; s_2 --a_2--&gt; s_3 --a_3--&gt; ...</t>
        </is>
      </c>
    </row>
    <row r="29">
      <c r="A29" s="5" t="inlineStr">
        <is>
          <t xml:space="preserve">                r_1          r_2          r_3          r_4</t>
        </is>
      </c>
    </row>
    <row r="30"/>
    <row r="31">
      <c r="A31" s="2" t="inlineStr">
        <is>
          <t>3. Key Terminology</t>
        </is>
      </c>
    </row>
    <row r="32">
      <c r="A32" s="6" t="inlineStr">
        <is>
          <t>Term</t>
        </is>
      </c>
      <c r="B32" s="6" t="inlineStr">
        <is>
          <t>Symbol</t>
        </is>
      </c>
      <c r="C32" s="6" t="inlineStr">
        <is>
          <t>Definition</t>
        </is>
      </c>
      <c r="D32" s="6" t="n"/>
      <c r="E32" s="6" t="n"/>
      <c r="F32" s="6" t="n"/>
      <c r="G32" s="6" t="n"/>
      <c r="H32" s="6" t="n"/>
      <c r="I32" s="6" t="n"/>
      <c r="J32" s="6" t="n"/>
    </row>
    <row r="33">
      <c r="A33" s="7" t="inlineStr">
        <is>
          <t>State</t>
        </is>
      </c>
      <c r="B33" s="8" t="inlineStr">
        <is>
          <t>s</t>
        </is>
      </c>
      <c r="C33" s="9" t="inlineStr">
        <is>
          <t>A complete description of the current situation</t>
        </is>
      </c>
      <c r="D33" s="9" t="n"/>
      <c r="E33" s="9" t="n"/>
      <c r="F33" s="9" t="n"/>
      <c r="G33" s="9" t="n"/>
      <c r="H33" s="9" t="inlineStr">
        <is>
          <t>{Cool, Warm, Overheated}</t>
        </is>
      </c>
      <c r="I33" s="9" t="n"/>
      <c r="J33" s="9" t="n"/>
    </row>
    <row r="34">
      <c r="A34" s="7" t="inlineStr">
        <is>
          <t>Action</t>
        </is>
      </c>
      <c r="B34" s="8" t="inlineStr">
        <is>
          <t>a</t>
        </is>
      </c>
      <c r="C34" s="9" t="inlineStr">
        <is>
          <t>A choice the agent can make in a given state</t>
        </is>
      </c>
      <c r="D34" s="9" t="n"/>
      <c r="E34" s="9" t="n"/>
      <c r="F34" s="9" t="n"/>
      <c r="G34" s="9" t="n"/>
      <c r="H34" s="9" t="inlineStr">
        <is>
          <t>{Slow, Fast}</t>
        </is>
      </c>
      <c r="I34" s="9" t="n"/>
      <c r="J34" s="9" t="n"/>
    </row>
    <row r="35">
      <c r="A35" s="7" t="inlineStr">
        <is>
          <t>Reward</t>
        </is>
      </c>
      <c r="B35" s="8" t="inlineStr">
        <is>
          <t>r</t>
        </is>
      </c>
      <c r="C35" s="9" t="inlineStr">
        <is>
          <t>Immediate scalar feedback after a transition</t>
        </is>
      </c>
      <c r="D35" s="9" t="n"/>
      <c r="E35" s="9" t="n"/>
      <c r="F35" s="9" t="n"/>
      <c r="G35" s="9" t="n"/>
      <c r="H35" s="9" t="inlineStr">
        <is>
          <t>+1 (slow), +2 (fast), -10 (overheat)</t>
        </is>
      </c>
      <c r="I35" s="9" t="n"/>
      <c r="J35" s="9" t="n"/>
    </row>
    <row r="36">
      <c r="A36" s="7" t="inlineStr">
        <is>
          <t>Transition</t>
        </is>
      </c>
      <c r="B36" s="8" t="inlineStr">
        <is>
          <t>P(s'|s,a)</t>
        </is>
      </c>
      <c r="C36" s="9" t="inlineStr">
        <is>
          <t>Probability of reaching state s' from s via action a</t>
        </is>
      </c>
      <c r="D36" s="9" t="n"/>
      <c r="E36" s="9" t="n"/>
      <c r="F36" s="9" t="n"/>
      <c r="G36" s="9" t="n"/>
      <c r="H36" s="9" t="inlineStr">
        <is>
          <t>0.5/0.5 non-terminal; 1.0 terminal</t>
        </is>
      </c>
      <c r="I36" s="9" t="n"/>
      <c r="J36" s="9" t="n"/>
    </row>
    <row r="37">
      <c r="A37" s="7" t="inlineStr">
        <is>
          <t>Policy</t>
        </is>
      </c>
      <c r="B37" s="8" t="inlineStr">
        <is>
          <t>pi(a|s)</t>
        </is>
      </c>
      <c r="C37" s="9" t="inlineStr">
        <is>
          <t>A rule mapping states to actions (the agent's strategy)</t>
        </is>
      </c>
      <c r="D37" s="9" t="n"/>
      <c r="E37" s="9" t="n"/>
      <c r="F37" s="9" t="n"/>
      <c r="G37" s="9" t="n"/>
      <c r="H37" s="9" t="inlineStr">
        <is>
          <t>e.g. Fast@Cool, Slow@Warm</t>
        </is>
      </c>
      <c r="I37" s="9" t="n"/>
      <c r="J37" s="9" t="n"/>
    </row>
    <row r="38">
      <c r="A38" s="7" t="inlineStr">
        <is>
          <t>Episode</t>
        </is>
      </c>
      <c r="B38" s="8" t="inlineStr">
        <is>
          <t>s_0,...,s_T</t>
        </is>
      </c>
      <c r="C38" s="9" t="inlineStr">
        <is>
          <t>A sequence from start state to terminal state</t>
        </is>
      </c>
      <c r="D38" s="9" t="n"/>
      <c r="E38" s="9" t="n"/>
      <c r="F38" s="9" t="n"/>
      <c r="G38" s="9" t="n"/>
      <c r="H38" s="9" t="inlineStr">
        <is>
          <t>Cool -&gt; ... -&gt; Overheated</t>
        </is>
      </c>
      <c r="I38" s="9" t="n"/>
      <c r="J38" s="9" t="n"/>
    </row>
    <row r="39">
      <c r="A39" s="7" t="inlineStr">
        <is>
          <t>Return</t>
        </is>
      </c>
      <c r="B39" s="8" t="inlineStr">
        <is>
          <t>G_t</t>
        </is>
      </c>
      <c r="C39" s="9" t="inlineStr">
        <is>
          <t>Cumulative discounted reward from time t onward</t>
        </is>
      </c>
      <c r="D39" s="9" t="n"/>
      <c r="E39" s="9" t="n"/>
      <c r="F39" s="9" t="n"/>
      <c r="G39" s="9" t="n"/>
      <c r="H39" s="9" t="inlineStr">
        <is>
          <t>G_t = r_{t+1} + gamma*G_{t+1}</t>
        </is>
      </c>
      <c r="I39" s="9" t="n"/>
      <c r="J39" s="9" t="n"/>
    </row>
    <row r="40">
      <c r="A40" s="7" t="inlineStr">
        <is>
          <t>Discount</t>
        </is>
      </c>
      <c r="B40" s="8" t="inlineStr">
        <is>
          <t>gamma</t>
        </is>
      </c>
      <c r="C40" s="9" t="inlineStr">
        <is>
          <t>How much future rewards are worth (0 to 1); gamma=0.9 here</t>
        </is>
      </c>
      <c r="D40" s="9" t="n"/>
      <c r="E40" s="9" t="n"/>
      <c r="F40" s="9" t="n"/>
      <c r="G40" s="9" t="n"/>
      <c r="H40" s="9" t="inlineStr">
        <is>
          <t>gamma=0.9: future $1 is worth $0.90 today</t>
        </is>
      </c>
      <c r="I40" s="9" t="n"/>
      <c r="J40" s="9" t="n"/>
    </row>
    <row r="41">
      <c r="A41" s="7" t="inlineStr">
        <is>
          <t>State Value</t>
        </is>
      </c>
      <c r="B41" s="8" t="inlineStr">
        <is>
          <t>V(s)</t>
        </is>
      </c>
      <c r="C41" s="9" t="inlineStr">
        <is>
          <t>Expected return starting from state s, following policy pi</t>
        </is>
      </c>
      <c r="D41" s="9" t="n"/>
      <c r="E41" s="9" t="n"/>
      <c r="F41" s="9" t="n"/>
      <c r="G41" s="9" t="n"/>
      <c r="H41" s="9" t="inlineStr">
        <is>
          <t>V(Cool) = expected total reward from Cool</t>
        </is>
      </c>
      <c r="I41" s="9" t="n"/>
      <c r="J41" s="9" t="n"/>
    </row>
    <row r="42">
      <c r="A42" s="7" t="inlineStr">
        <is>
          <t>Action Value</t>
        </is>
      </c>
      <c r="B42" s="8" t="inlineStr">
        <is>
          <t>Q(s,a)</t>
        </is>
      </c>
      <c r="C42" s="9" t="inlineStr">
        <is>
          <t>Expected return starting from s, taking a, then following pi</t>
        </is>
      </c>
      <c r="D42" s="9" t="n"/>
      <c r="E42" s="9" t="n"/>
      <c r="F42" s="9" t="n"/>
      <c r="G42" s="9" t="n"/>
      <c r="H42" s="9" t="inlineStr">
        <is>
          <t>Q(Cool,Fast) = exp. reward if Fast then follow pi</t>
        </is>
      </c>
      <c r="I42" s="9" t="n"/>
      <c r="J42" s="9" t="n"/>
    </row>
    <row r="43">
      <c r="A43" s="7" t="inlineStr">
        <is>
          <t>Optimal Value</t>
        </is>
      </c>
      <c r="B43" s="8" t="inlineStr">
        <is>
          <t>V*(s), Q*(s,a)</t>
        </is>
      </c>
      <c r="C43" s="9" t="inlineStr">
        <is>
          <t>Best possible expected return over ALL policies</t>
        </is>
      </c>
      <c r="D43" s="9" t="n"/>
      <c r="E43" s="9" t="n"/>
      <c r="F43" s="9" t="n"/>
      <c r="G43" s="9" t="n"/>
      <c r="H43" s="9" t="inlineStr">
        <is>
          <t>V*(Cool)=15.5, V*(Warm)=14.5</t>
        </is>
      </c>
      <c r="I43" s="9" t="n"/>
      <c r="J43" s="9" t="n"/>
    </row>
    <row r="44">
      <c r="A44" s="7" t="inlineStr">
        <is>
          <t>Optimal Policy</t>
        </is>
      </c>
      <c r="B44" s="8" t="inlineStr">
        <is>
          <t>pi*(a|s)</t>
        </is>
      </c>
      <c r="C44" s="9" t="inlineStr">
        <is>
          <t>The policy that achieves V*(s) for every state</t>
        </is>
      </c>
      <c r="D44" s="9" t="n"/>
      <c r="E44" s="9" t="n"/>
      <c r="F44" s="9" t="n"/>
      <c r="G44" s="9" t="n"/>
      <c r="H44" s="9" t="inlineStr">
        <is>
          <t>pi*(Cool)=Fast, pi*(Warm)=Slow</t>
        </is>
      </c>
      <c r="I44" s="9" t="n"/>
      <c r="J44" s="9" t="n"/>
    </row>
    <row r="45"/>
    <row r="46">
      <c r="A46" s="2" t="inlineStr">
        <is>
          <t>4. The Mathematical Framework: Bellman Equations</t>
        </is>
      </c>
    </row>
    <row r="47">
      <c r="A47" s="4" t="inlineStr">
        <is>
          <t>These equations express a recursive relationship: the value of a state depends on immediate reward PLUS the discounted value of the next state.</t>
        </is>
      </c>
    </row>
    <row r="48"/>
    <row r="49">
      <c r="A49" s="6" t="inlineStr">
        <is>
          <t>Equation</t>
        </is>
      </c>
      <c r="B49" s="6" t="inlineStr">
        <is>
          <t>Name</t>
        </is>
      </c>
      <c r="C49" s="6" t="inlineStr">
        <is>
          <t>Formula</t>
        </is>
      </c>
      <c r="D49" s="6" t="n"/>
      <c r="E49" s="6" t="n"/>
      <c r="F49" s="6" t="n"/>
      <c r="G49" s="6" t="n"/>
      <c r="H49" s="6" t="n"/>
      <c r="I49" s="6" t="n"/>
      <c r="J49" s="6" t="n"/>
    </row>
    <row r="50">
      <c r="A50" s="7" t="inlineStr">
        <is>
          <t>1</t>
        </is>
      </c>
      <c r="B50" s="10" t="inlineStr">
        <is>
          <t>Bellman Expectation
(for V^pi)</t>
        </is>
      </c>
      <c r="C50" s="11" t="inlineStr">
        <is>
          <t>V^pi(s) = SUM_a pi(a|s) * SUM_{s'} P(s'|s,a) * [R(s,a,s') + gamma * V^pi(s')]</t>
        </is>
      </c>
      <c r="D50" s="9" t="n"/>
      <c r="E50" s="9" t="n"/>
      <c r="F50" s="9" t="n"/>
      <c r="G50" s="9" t="inlineStr">
        <is>
          <t>Value of s under policy pi = expected [reward + discounted future value]</t>
        </is>
      </c>
      <c r="H50" s="9" t="n"/>
      <c r="I50" s="9" t="n"/>
      <c r="J50" s="9" t="n"/>
    </row>
    <row r="51">
      <c r="A51" s="7" t="inlineStr">
        <is>
          <t>2</t>
        </is>
      </c>
      <c r="B51" s="10" t="inlineStr">
        <is>
          <t>Bellman Expectation
(for Q^pi)</t>
        </is>
      </c>
      <c r="C51" s="11" t="inlineStr">
        <is>
          <t>Q^pi(s,a) = SUM_{s'} P(s'|s,a) * [R(s,a,s') + gamma * SUM_{a'} pi(a'|s') * Q^pi(s',a')]</t>
        </is>
      </c>
      <c r="D51" s="9" t="n"/>
      <c r="E51" s="9" t="n"/>
      <c r="F51" s="9" t="n"/>
      <c r="G51" s="9" t="inlineStr">
        <is>
          <t>Value of taking action a in state s, then following pi</t>
        </is>
      </c>
      <c r="H51" s="9" t="n"/>
      <c r="I51" s="9" t="n"/>
      <c r="J51" s="9" t="n"/>
    </row>
    <row r="52">
      <c r="A52" s="7" t="inlineStr">
        <is>
          <t>3</t>
        </is>
      </c>
      <c r="B52" s="10" t="inlineStr">
        <is>
          <t>Bellman Optimality
(for V*)</t>
        </is>
      </c>
      <c r="C52" s="11" t="inlineStr">
        <is>
          <t>V*(s) = max_a SUM_{s'} P(s'|s,a) * [R(s,a,s') + gamma * V*(s')]</t>
        </is>
      </c>
      <c r="D52" s="9" t="n"/>
      <c r="E52" s="9" t="n"/>
      <c r="F52" s="9" t="n"/>
      <c r="G52" s="9" t="inlineStr">
        <is>
          <t>Optimal value = best action's expected [reward + discounted optimal future]</t>
        </is>
      </c>
      <c r="H52" s="9" t="n"/>
      <c r="I52" s="9" t="n"/>
      <c r="J52" s="9" t="n"/>
    </row>
    <row r="53">
      <c r="A53" s="7" t="inlineStr">
        <is>
          <t>4</t>
        </is>
      </c>
      <c r="B53" s="10" t="inlineStr">
        <is>
          <t>Bellman Optimality
(for Q*)</t>
        </is>
      </c>
      <c r="C53" s="11" t="inlineStr">
        <is>
          <t>Q*(s,a) = SUM_{s'} P(s'|s,a) * [R(s,a,s') + gamma * max_{a'} Q*(s',a')]</t>
        </is>
      </c>
      <c r="D53" s="9" t="n"/>
      <c r="E53" s="9" t="n"/>
      <c r="F53" s="9" t="n"/>
      <c r="G53" s="9" t="inlineStr">
        <is>
          <t>Optimal action-value: take a, then act optimally forever after</t>
        </is>
      </c>
      <c r="H53" s="9" t="n"/>
      <c r="I53" s="9" t="n"/>
      <c r="J53" s="9" t="n"/>
    </row>
    <row r="54">
      <c r="A54" s="7" t="inlineStr">
        <is>
          <t>5</t>
        </is>
      </c>
      <c r="B54" s="10" t="inlineStr">
        <is>
          <t>V-Q Relationship</t>
        </is>
      </c>
      <c r="C54" s="11" t="inlineStr">
        <is>
          <t>V*(s) = max_a Q*(s,a)     and     pi*(s) = argmax_a Q*(s,a)</t>
        </is>
      </c>
      <c r="D54" s="9" t="n"/>
      <c r="E54" s="9" t="n"/>
      <c r="F54" s="9" t="n"/>
      <c r="G54" s="9" t="inlineStr">
        <is>
          <t>Optimal value = best Q; optimal policy = pick the action with highest Q</t>
        </is>
      </c>
      <c r="H54" s="9" t="n"/>
      <c r="I54" s="9" t="n"/>
      <c r="J54" s="9" t="n"/>
    </row>
    <row r="55">
      <c r="A55" s="7" t="inlineStr">
        <is>
          <t>6</t>
        </is>
      </c>
      <c r="B55" s="10" t="inlineStr">
        <is>
          <t>Return (recursive)</t>
        </is>
      </c>
      <c r="C55" s="11" t="inlineStr">
        <is>
          <t>G_t = r_{t+1} + gamma * G_{t+1}     with     G_T = r_T (terminal)</t>
        </is>
      </c>
      <c r="D55" s="9" t="n"/>
      <c r="E55" s="9" t="n"/>
      <c r="F55" s="9" t="n"/>
      <c r="G55" s="9" t="inlineStr">
        <is>
          <t>Total discounted reward from time t; computed backward from the end</t>
        </is>
      </c>
      <c r="H55" s="9" t="n"/>
      <c r="I55" s="9" t="n"/>
      <c r="J55" s="9" t="n"/>
    </row>
    <row r="56"/>
    <row r="57">
      <c r="A57" s="2" t="inlineStr">
        <is>
          <t>5. Three Families of Solution Methods</t>
        </is>
      </c>
    </row>
    <row r="58">
      <c r="A58" s="4" t="inlineStr">
        <is>
          <t>All three converge to V*/Q*/pi* but differ in what they require and how they learn.</t>
        </is>
      </c>
    </row>
    <row r="59"/>
    <row r="60">
      <c r="A60" s="6" t="inlineStr">
        <is>
          <t>Method</t>
        </is>
      </c>
      <c r="B60" s="6" t="inlineStr">
        <is>
          <t>Key Idea</t>
        </is>
      </c>
      <c r="C60" s="6" t="inlineStr">
        <is>
          <t>Requires Model?</t>
        </is>
      </c>
      <c r="D60" s="6" t="inlineStr">
        <is>
          <t>Update Rule</t>
        </is>
      </c>
      <c r="E60" s="6" t="n"/>
      <c r="F60" s="6" t="n"/>
      <c r="G60" s="6" t="n"/>
      <c r="H60" s="6" t="n"/>
      <c r="I60" s="6" t="n"/>
      <c r="J60" s="6" t="n"/>
    </row>
    <row r="61">
      <c r="A61" s="10" t="inlineStr">
        <is>
          <t>Dynamic
Programming (DP)</t>
        </is>
      </c>
      <c r="B61" s="9" t="inlineStr">
        <is>
          <t>Sweep over ALL states, apply Bellman update using known P and R</t>
        </is>
      </c>
      <c r="C61" s="9" t="inlineStr">
        <is>
          <t>YES (full model P, R)</t>
        </is>
      </c>
      <c r="D61" s="12" t="inlineStr">
        <is>
          <t>V(s) &lt;- SUM_a pi(a|s) * SUM_{s'} P(s'|s,a) * [R + gamma*V(s')]</t>
        </is>
      </c>
      <c r="E61" s="9" t="n"/>
      <c r="F61" s="9" t="n"/>
      <c r="G61" s="9" t="n"/>
      <c r="H61" s="9" t="inlineStr">
        <is>
          <t>The model itself (no interaction needed)</t>
        </is>
      </c>
      <c r="I61" s="9" t="n"/>
      <c r="J61" s="9" t="n"/>
    </row>
    <row r="62">
      <c r="A62" s="10" t="inlineStr">
        <is>
          <t>Monte Carlo
(MC)</t>
        </is>
      </c>
      <c r="B62" s="9" t="inlineStr">
        <is>
          <t>Play complete episodes, compute actual returns, average them</t>
        </is>
      </c>
      <c r="C62" s="9" t="inlineStr">
        <is>
          <t>NO (model-free)</t>
        </is>
      </c>
      <c r="D62" s="12" t="inlineStr">
        <is>
          <t>V(s) &lt;- average of all returns G_t observed from first visits to s</t>
        </is>
      </c>
      <c r="E62" s="9" t="n"/>
      <c r="F62" s="9" t="n"/>
      <c r="G62" s="9" t="n"/>
      <c r="H62" s="9" t="inlineStr">
        <is>
          <t>Complete episodes (must reach terminal state)</t>
        </is>
      </c>
      <c r="I62" s="9" t="n"/>
      <c r="J62" s="9" t="n"/>
    </row>
    <row r="63">
      <c r="A63" s="10" t="inlineStr">
        <is>
          <t>Temporal
Difference (TD)</t>
        </is>
      </c>
      <c r="B63" s="9" t="inlineStr">
        <is>
          <t>Update after EVERY step using bootstrapped estimate of future value</t>
        </is>
      </c>
      <c r="C63" s="9" t="inlineStr">
        <is>
          <t>NO (model-free)</t>
        </is>
      </c>
      <c r="D63" s="12" t="inlineStr">
        <is>
          <t>V(s) &lt;- V(s) + alpha*[r + gamma*V(s') - V(s)]</t>
        </is>
      </c>
      <c r="E63" s="9" t="n"/>
      <c r="F63" s="9" t="n"/>
      <c r="G63" s="9" t="n"/>
      <c r="H63" s="9" t="inlineStr">
        <is>
          <t>Single transitions (online, incremental)</t>
        </is>
      </c>
      <c r="I63" s="9" t="n"/>
      <c r="J63" s="9" t="n"/>
    </row>
    <row r="64"/>
    <row r="65">
      <c r="A65" s="2" t="inlineStr">
        <is>
          <t>6. Our Problem: The Race Car MDP</t>
        </is>
      </c>
    </row>
    <row r="66">
      <c r="A66" s="3" t="inlineStr">
        <is>
          <t>A race car drives around a track. Its engine can be in one of THREE states: Cool, Warm, or Overheated (terminal = game over).</t>
        </is>
      </c>
    </row>
    <row r="67">
      <c r="A67" s="3" t="inlineStr">
        <is>
          <t>At each step, the driver chooses to go Slow or Fast. Going fast earns more reward (+2 vs +1) but risks overheating.</t>
        </is>
      </c>
    </row>
    <row r="68">
      <c r="A68" s="3" t="inlineStr">
        <is>
          <t>If the car is Warm and the driver chooses Fast, it ALWAYS overheats (reward = -10). Otherwise transitions are 50/50.</t>
        </is>
      </c>
    </row>
    <row r="69">
      <c r="A69" s="3" t="inlineStr"/>
    </row>
    <row r="70">
      <c r="A70" s="13" t="inlineStr">
        <is>
          <t>THE QUESTION: What is the optimal driving policy that maximizes long-term cumulative discounted reward?</t>
        </is>
      </c>
    </row>
    <row r="71"/>
    <row r="72">
      <c r="A72" s="2" t="inlineStr">
        <is>
          <t>State Transition Diagram:</t>
        </is>
      </c>
    </row>
    <row r="73">
      <c r="A73" s="5" t="inlineStr">
        <is>
          <t xml:space="preserve">                     a=Slow, r=+1          a=Slow, r=+1</t>
        </is>
      </c>
    </row>
    <row r="74">
      <c r="A74" s="5" t="inlineStr">
        <is>
          <t xml:space="preserve">                   +-------------+        +-------------+</t>
        </is>
      </c>
    </row>
    <row r="75">
      <c r="A75" s="5" t="inlineStr">
        <is>
          <t xml:space="preserve">                   |             |        |             |</t>
        </is>
      </c>
    </row>
    <row r="76">
      <c r="A76" s="5" t="inlineStr">
        <is>
          <t xml:space="preserve">                   v    0.5      |  0.5   v    0.5      |</t>
        </is>
      </c>
    </row>
    <row r="77">
      <c r="A77" s="5" t="inlineStr">
        <is>
          <t xml:space="preserve">              +----------+  ---------&gt;  +----------+    |</t>
        </is>
      </c>
    </row>
    <row r="78">
      <c r="A78" s="5" t="inlineStr">
        <is>
          <t xml:space="preserve">              |          | &lt;---------   |          |----+</t>
        </is>
      </c>
    </row>
    <row r="79">
      <c r="A79" s="5" t="inlineStr">
        <is>
          <t xml:space="preserve">              |   COOL   |    0.5       |   WARM   |</t>
        </is>
      </c>
    </row>
    <row r="80">
      <c r="A80" s="5" t="inlineStr">
        <is>
          <t xml:space="preserve">              |          | ---------&gt;   |          |</t>
        </is>
      </c>
    </row>
    <row r="81">
      <c r="A81" s="5" t="inlineStr">
        <is>
          <t xml:space="preserve">              +----------+  a=Fast,r=+2 +----------+</t>
        </is>
      </c>
    </row>
    <row r="82">
      <c r="A82" s="5" t="inlineStr">
        <is>
          <t xml:space="preserve">                   |    ^                     |</t>
        </is>
      </c>
    </row>
    <row r="83">
      <c r="A83" s="5" t="inlineStr">
        <is>
          <t xml:space="preserve">                   |    |  0.5                 |  a=Fast (P=1.0)</t>
        </is>
      </c>
    </row>
    <row r="84">
      <c r="A84" s="5" t="inlineStr">
        <is>
          <t xml:space="preserve">                   +----+                     |  r=-10</t>
        </is>
      </c>
    </row>
    <row r="85">
      <c r="A85" s="5" t="inlineStr">
        <is>
          <t xml:space="preserve">                  a=Fast, r=+2                v</t>
        </is>
      </c>
    </row>
    <row r="86">
      <c r="A86" s="5" t="inlineStr">
        <is>
          <t xml:space="preserve">                                       +----------+</t>
        </is>
      </c>
    </row>
    <row r="87">
      <c r="A87" s="5" t="inlineStr">
        <is>
          <t xml:space="preserve">                                       |OVERHEATED|</t>
        </is>
      </c>
    </row>
    <row r="88">
      <c r="A88" s="5" t="inlineStr">
        <is>
          <t xml:space="preserve">                                       | TERMINAL |</t>
        </is>
      </c>
    </row>
    <row r="89">
      <c r="A89" s="5" t="inlineStr">
        <is>
          <t xml:space="preserve">                                       |  V* = 0  |</t>
        </is>
      </c>
    </row>
    <row r="90">
      <c r="A90" s="5" t="inlineStr">
        <is>
          <t xml:space="preserve">                                       +----------+</t>
        </is>
      </c>
    </row>
    <row r="91"/>
    <row r="92">
      <c r="A92" s="2" t="inlineStr">
        <is>
          <t>7. The Answer (solved analytically in the Analytical sheet)</t>
        </is>
      </c>
    </row>
    <row r="93">
      <c r="A93" s="6" t="inlineStr"/>
      <c r="B93" s="6" t="inlineStr">
        <is>
          <t>V* (Optimal Value)</t>
        </is>
      </c>
      <c r="C93" s="6" t="inlineStr">
        <is>
          <t>pi* (Optimal Policy)</t>
        </is>
      </c>
      <c r="D93" s="6" t="inlineStr">
        <is>
          <t>Intuition</t>
        </is>
      </c>
      <c r="E93" s="6" t="n"/>
      <c r="F93" s="6" t="n"/>
      <c r="G93" s="6" t="n"/>
      <c r="H93" s="6" t="n"/>
      <c r="I93" s="6" t="n"/>
      <c r="J93" s="6" t="n"/>
    </row>
    <row r="94">
      <c r="A94" s="14" t="inlineStr">
        <is>
          <t>Cool</t>
        </is>
      </c>
      <c r="B94" s="15" t="inlineStr">
        <is>
          <t>15.5</t>
        </is>
      </c>
      <c r="C94" s="16" t="inlineStr">
        <is>
          <t>Fast</t>
        </is>
      </c>
      <c r="D94" s="9" t="inlineStr">
        <is>
          <t>Go fast — even if you warm up, you can slow down next turn. The +2 reward is worth the risk.</t>
        </is>
      </c>
      <c r="E94" s="9" t="n"/>
      <c r="F94" s="9" t="n"/>
      <c r="G94" s="9" t="n"/>
      <c r="H94" s="9" t="n"/>
      <c r="I94" s="9" t="n"/>
      <c r="J94" s="9" t="n"/>
    </row>
    <row r="95">
      <c r="A95" s="14" t="inlineStr">
        <is>
          <t>Warm</t>
        </is>
      </c>
      <c r="B95" s="15" t="inlineStr">
        <is>
          <t>14.5</t>
        </is>
      </c>
      <c r="C95" s="16" t="inlineStr">
        <is>
          <t>Slow</t>
        </is>
      </c>
      <c r="D95" s="9" t="inlineStr">
        <is>
          <t>Go slow — going fast means certain overheating (-10). Play it safe and cool down.</t>
        </is>
      </c>
      <c r="E95" s="9" t="n"/>
      <c r="F95" s="9" t="n"/>
      <c r="G95" s="9" t="n"/>
      <c r="H95" s="9" t="n"/>
      <c r="I95" s="9" t="n"/>
      <c r="J95" s="9" t="n"/>
    </row>
    <row r="96">
      <c r="A96" s="17" t="inlineStr">
        <is>
          <t>Overheated</t>
        </is>
      </c>
      <c r="B96" s="18" t="inlineStr">
        <is>
          <t>0</t>
        </is>
      </c>
      <c r="C96" s="19" t="inlineStr">
        <is>
          <t>-- (terminal)</t>
        </is>
      </c>
      <c r="D96" s="20" t="inlineStr">
        <is>
          <t>Game over. No more rewards possible.</t>
        </is>
      </c>
      <c r="E96" s="20" t="n"/>
      <c r="F96" s="20" t="n"/>
      <c r="G96" s="20" t="n"/>
      <c r="H96" s="20" t="n"/>
      <c r="I96" s="20" t="n"/>
      <c r="J96" s="20" t="n"/>
    </row>
    <row r="97"/>
    <row r="98">
      <c r="A98" s="2" t="inlineStr">
        <is>
          <t>8. Workbook Roadmap: How Each Sheet Solves This Problem</t>
        </is>
      </c>
    </row>
    <row r="99">
      <c r="A99" s="4" t="inlineStr">
        <is>
          <t>Each sheet below attacks the SAME race car problem using a different method. Together they show the complete RL solution pipeline.</t>
        </is>
      </c>
    </row>
    <row r="100"/>
    <row r="101">
      <c r="A101" s="6" t="inlineStr">
        <is>
          <t>#</t>
        </is>
      </c>
      <c r="B101" s="6" t="inlineStr">
        <is>
          <t>Sheet</t>
        </is>
      </c>
      <c r="C101" s="6" t="inlineStr">
        <is>
          <t>Method</t>
        </is>
      </c>
      <c r="D101" s="6" t="inlineStr">
        <is>
          <t>What It Does</t>
        </is>
      </c>
      <c r="E101" s="6" t="n"/>
      <c r="F101" s="6" t="n"/>
      <c r="G101" s="6" t="n"/>
      <c r="H101" s="6" t="n"/>
      <c r="I101" s="6" t="n"/>
      <c r="J101" s="6" t="n"/>
    </row>
    <row r="102">
      <c r="A102" s="7" t="inlineStr">
        <is>
          <t>1</t>
        </is>
      </c>
      <c r="B102" s="21" t="inlineStr">
        <is>
          <t>Problem</t>
        </is>
      </c>
      <c r="C102" s="9" t="inlineStr">
        <is>
          <t>Definition</t>
        </is>
      </c>
      <c r="D102" s="9" t="inlineStr">
        <is>
          <t>Defines the MDP: states, actions, transition probabilities P(s'|s,a), rewards R(s,a,s'), gamma=0.9</t>
        </is>
      </c>
      <c r="E102" s="9" t="n"/>
      <c r="F102" s="9" t="n"/>
      <c r="G102" s="9" t="n"/>
      <c r="H102" s="9" t="inlineStr">
        <is>
          <t>Complete MDP specification</t>
        </is>
      </c>
      <c r="I102" s="9" t="n"/>
      <c r="J102" s="9" t="n"/>
    </row>
    <row r="103">
      <c r="A103" s="7" t="inlineStr">
        <is>
          <t>2</t>
        </is>
      </c>
      <c r="B103" s="21" t="inlineStr">
        <is>
          <t>DP-Eval</t>
        </is>
      </c>
      <c r="C103" s="9" t="inlineStr">
        <is>
          <t>Dynamic Programming</t>
        </is>
      </c>
      <c r="D103" s="9" t="inlineStr">
        <is>
          <t>Policy Evaluation: computes V^pi for all 4 deterministic policies using iterative Bellman updates. Shows synchronous vs in-place side by side.</t>
        </is>
      </c>
      <c r="E103" s="9" t="n"/>
      <c r="F103" s="9" t="n"/>
      <c r="G103" s="9" t="n"/>
      <c r="H103" s="9" t="inlineStr">
        <is>
          <t>V^pi(s) for each policy after 50 sweeps</t>
        </is>
      </c>
      <c r="I103" s="9" t="n"/>
      <c r="J103" s="9" t="n"/>
    </row>
    <row r="104">
      <c r="A104" s="7" t="inlineStr">
        <is>
          <t>3</t>
        </is>
      </c>
      <c r="B104" s="21" t="inlineStr">
        <is>
          <t>DP-VI</t>
        </is>
      </c>
      <c r="C104" s="9" t="inlineStr">
        <is>
          <t>Dynamic Programming</t>
        </is>
      </c>
      <c r="D104" s="9" t="inlineStr">
        <is>
          <t>Value Iteration: finds V*, Q*, pi* by applying the Bellman OPTIMALITY equation iteratively. Synchronous vs in-place compared.</t>
        </is>
      </c>
      <c r="E104" s="9" t="n"/>
      <c r="F104" s="9" t="n"/>
      <c r="G104" s="9" t="n"/>
      <c r="H104" s="9" t="inlineStr">
        <is>
          <t>V*(Cool)=15.5, V*(Warm)=14.5, pi*</t>
        </is>
      </c>
      <c r="I104" s="9" t="n"/>
      <c r="J104" s="9" t="n"/>
    </row>
    <row r="105">
      <c r="A105" s="7" t="inlineStr">
        <is>
          <t>4</t>
        </is>
      </c>
      <c r="B105" s="21" t="inlineStr">
        <is>
          <t>Convergence</t>
        </is>
      </c>
      <c r="C105" s="9" t="inlineStr">
        <is>
          <t>Analysis</t>
        </is>
      </c>
      <c r="D105" s="9" t="inlineStr">
        <is>
          <t>Tracks how V* approaches the true values over 50 iterations. Shows |error|, |DV|, and contraction ratio ~gamma=0.9.</t>
        </is>
      </c>
      <c r="E105" s="9" t="n"/>
      <c r="F105" s="9" t="n"/>
      <c r="G105" s="9" t="n"/>
      <c r="H105" s="9" t="inlineStr">
        <is>
          <t>Convergence speed: sync vs in-place</t>
        </is>
      </c>
      <c r="I105" s="9" t="n"/>
      <c r="J105" s="9" t="n"/>
    </row>
    <row r="106">
      <c r="A106" s="7" t="inlineStr">
        <is>
          <t>5</t>
        </is>
      </c>
      <c r="B106" s="21" t="inlineStr">
        <is>
          <t>Analytical</t>
        </is>
      </c>
      <c r="C106" s="9" t="inlineStr">
        <is>
          <t>Algebra</t>
        </is>
      </c>
      <c r="D106" s="9" t="inlineStr">
        <is>
          <t>Solves the Bellman equation EXACTLY by hand: sets up system of equations, shows circular dependency, substitutes, and solves for V*.</t>
        </is>
      </c>
      <c r="E106" s="9" t="n"/>
      <c r="F106" s="9" t="n"/>
      <c r="G106" s="9" t="n"/>
      <c r="H106" s="9" t="inlineStr">
        <is>
          <t>Closed-form V*, Q* with step-by-step derivation</t>
        </is>
      </c>
      <c r="I106" s="9" t="n"/>
      <c r="J106" s="9" t="n"/>
    </row>
    <row r="107">
      <c r="A107" s="7" t="inlineStr">
        <is>
          <t>6</t>
        </is>
      </c>
      <c r="B107" s="21" t="inlineStr">
        <is>
          <t>Summary</t>
        </is>
      </c>
      <c r="C107" s="9" t="inlineStr">
        <is>
          <t>All Methods</t>
        </is>
      </c>
      <c r="D107" s="9" t="inlineStr">
        <is>
          <t>Collects V^pi, V*, Q^pi, Q* for all policies in one place. Demonstrates Policy Iteration: evaluate -&gt; improve -&gt; converge.</t>
        </is>
      </c>
      <c r="E107" s="9" t="n"/>
      <c r="F107" s="9" t="n"/>
      <c r="G107" s="9" t="n"/>
      <c r="H107" s="9" t="inlineStr">
        <is>
          <t>Complete V/Q tables + policy iteration demo</t>
        </is>
      </c>
      <c r="I107" s="9" t="n"/>
      <c r="J107" s="9" t="n"/>
    </row>
    <row r="108">
      <c r="A108" s="7" t="inlineStr">
        <is>
          <t>7</t>
        </is>
      </c>
      <c r="B108" s="21" t="inlineStr">
        <is>
          <t>MC-Episodes</t>
        </is>
      </c>
      <c r="C108" s="9" t="inlineStr">
        <is>
          <t>Monte Carlo</t>
        </is>
      </c>
      <c r="D108" s="9" t="inlineStr">
        <is>
          <t>Simulates 5 episodes following an epsilon-greedy optimal policy. Computes return G_t backward for each step.</t>
        </is>
      </c>
      <c r="E108" s="9" t="n"/>
      <c r="F108" s="9" t="n"/>
      <c r="G108" s="9" t="n"/>
      <c r="H108" s="9" t="inlineStr">
        <is>
          <t>Episode trajectories with discounted returns</t>
        </is>
      </c>
      <c r="I108" s="9" t="n"/>
      <c r="J108" s="9" t="n"/>
    </row>
    <row r="109">
      <c r="A109" s="7" t="inlineStr">
        <is>
          <t>8</t>
        </is>
      </c>
      <c r="B109" s="21" t="inlineStr">
        <is>
          <t>MC-VQ</t>
        </is>
      </c>
      <c r="C109" s="9" t="inlineStr">
        <is>
          <t>Monte Carlo</t>
        </is>
      </c>
      <c r="D109" s="9" t="inlineStr">
        <is>
          <t>First-visit MC estimation: averages G_t returns across episodes to estimate V^MC(s) and Q^MC(s,a).</t>
        </is>
      </c>
      <c r="E109" s="9" t="n"/>
      <c r="F109" s="9" t="n"/>
      <c r="G109" s="9" t="n"/>
      <c r="H109" s="9" t="inlineStr">
        <is>
          <t>V^MC, Q^MC, greedy policy from MC</t>
        </is>
      </c>
      <c r="I109" s="9" t="n"/>
      <c r="J109" s="9" t="n"/>
    </row>
    <row r="110">
      <c r="A110" s="7" t="inlineStr">
        <is>
          <t>9</t>
        </is>
      </c>
      <c r="B110" s="21" t="inlineStr">
        <is>
          <t>TD0</t>
        </is>
      </c>
      <c r="C110" s="9" t="inlineStr">
        <is>
          <t>Temporal Difference</t>
        </is>
      </c>
      <c r="D110" s="9" t="inlineStr">
        <is>
          <t>TD(0) updates V(s) after EVERY transition using V(s) &lt;- V(s) + alpha*[r + gamma*V(s') - V(s)]. Step-by-step trace.</t>
        </is>
      </c>
      <c r="E110" s="9" t="n"/>
      <c r="F110" s="9" t="n"/>
      <c r="G110" s="9" t="n"/>
      <c r="H110" s="9" t="inlineStr">
        <is>
          <t>V^TD(s) after all episodes</t>
        </is>
      </c>
      <c r="I110" s="9" t="n"/>
      <c r="J110" s="9" t="n"/>
    </row>
    <row r="111">
      <c r="A111" s="7" t="inlineStr">
        <is>
          <t>10</t>
        </is>
      </c>
      <c r="B111" s="21" t="inlineStr">
        <is>
          <t>SARSA</t>
        </is>
      </c>
      <c r="C111" s="9" t="inlineStr">
        <is>
          <t>Temporal Difference</t>
        </is>
      </c>
      <c r="D111" s="9" t="inlineStr">
        <is>
          <t>On-policy Q-learning: Q(s,a) &lt;- Q(s,a) + alpha*[r + gamma*Q(s',a') - Q(s,a)]. Uses the ACTUAL next action a'.</t>
        </is>
      </c>
      <c r="E111" s="9" t="n"/>
      <c r="F111" s="9" t="n"/>
      <c r="G111" s="9" t="n"/>
      <c r="H111" s="9" t="inlineStr">
        <is>
          <t>Q^SARSA(s,a) + greedy policy</t>
        </is>
      </c>
      <c r="I111" s="9" t="n"/>
      <c r="J111" s="9" t="n"/>
    </row>
    <row r="112">
      <c r="A112" s="7" t="inlineStr">
        <is>
          <t>11</t>
        </is>
      </c>
      <c r="B112" s="21" t="inlineStr">
        <is>
          <t>QLearning</t>
        </is>
      </c>
      <c r="C112" s="9" t="inlineStr">
        <is>
          <t>Temporal Difference</t>
        </is>
      </c>
      <c r="D112" s="9" t="inlineStr">
        <is>
          <t>Off-policy Q-learning: Q(s,a) &lt;- Q(s,a) + alpha*[r + gamma*max Q(s',.) - Q(s,a)]. Uses the BEST next action.</t>
        </is>
      </c>
      <c r="E112" s="9" t="n"/>
      <c r="F112" s="9" t="n"/>
      <c r="G112" s="9" t="n"/>
      <c r="H112" s="9" t="inlineStr">
        <is>
          <t>Q*(s,a) estimate + optimal policy</t>
        </is>
      </c>
      <c r="I112" s="9" t="n"/>
      <c r="J112" s="9" t="n"/>
    </row>
    <row r="113"/>
    <row r="114">
      <c r="A114" s="2" t="inlineStr">
        <is>
          <t>9. The Big Picture: From Problem to Solution</t>
        </is>
      </c>
    </row>
    <row r="115">
      <c r="A115" s="5" t="inlineStr">
        <is>
          <t>DEFINE the MDP (Problem sheet)</t>
        </is>
      </c>
    </row>
    <row r="116">
      <c r="A116" s="5" t="inlineStr">
        <is>
          <t xml:space="preserve">      |</t>
        </is>
      </c>
    </row>
    <row r="117">
      <c r="A117" s="5" t="inlineStr">
        <is>
          <t xml:space="preserve">      v</t>
        </is>
      </c>
    </row>
    <row r="118">
      <c r="A118" s="5" t="inlineStr">
        <is>
          <t>SOLVE for V* and pi* --- three paths:</t>
        </is>
      </c>
    </row>
    <row r="119">
      <c r="A119" s="5" t="inlineStr">
        <is>
          <t xml:space="preserve">      |                   |                    |</t>
        </is>
      </c>
    </row>
    <row r="120">
      <c r="A120" s="5" t="inlineStr">
        <is>
          <t xml:space="preserve">  [MODEL-BASED]      [MODEL-FREE]         [MODEL-FREE]</t>
        </is>
      </c>
    </row>
    <row r="121">
      <c r="A121" s="5" t="inlineStr">
        <is>
          <t xml:space="preserve">  Dynamic Prog.      Monte Carlo            TD Learning</t>
        </is>
      </c>
    </row>
    <row r="122">
      <c r="A122" s="5" t="inlineStr">
        <is>
          <t xml:space="preserve">  (DP-Eval, DP-VI)   (MC-Episodes, MC-VQ)  (TD0, SARSA, QLearning)</t>
        </is>
      </c>
    </row>
    <row r="123">
      <c r="A123" s="5" t="inlineStr">
        <is>
          <t xml:space="preserve">  Needs: P, R        Needs: episodes        Needs: single transitions</t>
        </is>
      </c>
    </row>
    <row r="124">
      <c r="A124" s="5" t="inlineStr">
        <is>
          <t xml:space="preserve">  Exact (converges)  Unbiased, high var.    Biased, low variance</t>
        </is>
      </c>
    </row>
    <row r="125">
      <c r="A125" s="5" t="inlineStr">
        <is>
          <t xml:space="preserve">      |                   |                    |</t>
        </is>
      </c>
    </row>
    <row r="126">
      <c r="A126" s="5" t="inlineStr">
        <is>
          <t xml:space="preserve">      +-------------------+--------------------+</t>
        </is>
      </c>
    </row>
    <row r="127">
      <c r="A127" s="5" t="inlineStr">
        <is>
          <t xml:space="preserve">                          |</t>
        </is>
      </c>
    </row>
    <row r="128">
      <c r="A128" s="5" t="inlineStr">
        <is>
          <t xml:space="preserve">                          v</t>
        </is>
      </c>
    </row>
    <row r="129">
      <c r="A129" s="5" t="inlineStr">
        <is>
          <t>VERIFY: all methods converge to the SAME answer: pi*(Cool)=Fast, pi*(Warm)=Slow</t>
        </is>
      </c>
    </row>
    <row r="130">
      <c r="A130" s="5" t="inlineStr">
        <is>
          <t xml:space="preserve">        (Analytical sheet proves it algebraically; Convergence sheet shows DP getting there)</t>
        </is>
      </c>
    </row>
    <row r="131"/>
    <row r="132">
      <c r="A132" s="2" t="inlineStr">
        <is>
          <t>Color Legend Used Throughout This Workbook</t>
        </is>
      </c>
    </row>
    <row r="133">
      <c r="A133" s="22" t="inlineStr">
        <is>
          <t>  </t>
        </is>
      </c>
      <c r="B133" s="23" t="inlineStr">
        <is>
          <t>Orange cells = LIVE FORMULA (click cell -&gt; formula bar shows computation)</t>
        </is>
      </c>
    </row>
    <row r="134">
      <c r="A134" s="24" t="inlineStr">
        <is>
          <t>  </t>
        </is>
      </c>
      <c r="B134" s="23" t="inlineStr">
        <is>
          <t>Red cells = Terminal state / penalty</t>
        </is>
      </c>
    </row>
    <row r="135">
      <c r="A135" s="25" t="inlineStr">
        <is>
          <t>  </t>
        </is>
      </c>
      <c r="B135" s="23" t="inlineStr">
        <is>
          <t>Green cells = Positive reward</t>
        </is>
      </c>
    </row>
    <row r="136">
      <c r="A136" s="26" t="inlineStr">
        <is>
          <t>  </t>
        </is>
      </c>
      <c r="B136" s="23" t="inlineStr">
        <is>
          <t>Light green cells = Best Q-value or solution</t>
        </is>
      </c>
    </row>
    <row r="137">
      <c r="A137" s="27" t="inlineStr">
        <is>
          <t>  </t>
        </is>
      </c>
      <c r="B137" s="23" t="inlineStr">
        <is>
          <t>Blue cells = Episode headers</t>
        </is>
      </c>
    </row>
    <row r="138">
      <c r="A138" s="28" t="inlineStr">
        <is>
          <t>  </t>
        </is>
      </c>
      <c r="B138" s="23" t="inlineStr">
        <is>
          <t>Light blue cells = Initialization / sub-headers</t>
        </is>
      </c>
    </row>
  </sheetData>
  <mergeCells count="148">
    <mergeCell ref="C52:F52"/>
    <mergeCell ref="A23:J23"/>
    <mergeCell ref="G55:J55"/>
    <mergeCell ref="H110:J110"/>
    <mergeCell ref="H109:J109"/>
    <mergeCell ref="A115:J115"/>
    <mergeCell ref="D110:G110"/>
    <mergeCell ref="D60:G60"/>
    <mergeCell ref="A130:J130"/>
    <mergeCell ref="C44:G44"/>
    <mergeCell ref="A77:J77"/>
    <mergeCell ref="A83:J83"/>
    <mergeCell ref="H111:J111"/>
    <mergeCell ref="D109:G109"/>
    <mergeCell ref="C40:G40"/>
    <mergeCell ref="H104:J104"/>
    <mergeCell ref="A6:J6"/>
    <mergeCell ref="A119:J119"/>
    <mergeCell ref="D108:G108"/>
    <mergeCell ref="A69:J69"/>
    <mergeCell ref="C54:F54"/>
    <mergeCell ref="C50:F50"/>
    <mergeCell ref="B138:J138"/>
    <mergeCell ref="A66:J66"/>
    <mergeCell ref="H38:J38"/>
    <mergeCell ref="A118:J118"/>
    <mergeCell ref="A75:J75"/>
    <mergeCell ref="G53:J53"/>
    <mergeCell ref="H44:J44"/>
    <mergeCell ref="A120:J120"/>
    <mergeCell ref="A12:J12"/>
    <mergeCell ref="H40:J40"/>
    <mergeCell ref="D112:G112"/>
    <mergeCell ref="D62:G62"/>
    <mergeCell ref="A5:J5"/>
    <mergeCell ref="C34:G34"/>
    <mergeCell ref="A14:J14"/>
    <mergeCell ref="H60:J60"/>
    <mergeCell ref="C42:G42"/>
    <mergeCell ref="A29:J29"/>
    <mergeCell ref="A4:J4"/>
    <mergeCell ref="A81:J81"/>
    <mergeCell ref="A121:J121"/>
    <mergeCell ref="A13:J13"/>
    <mergeCell ref="A58:J58"/>
    <mergeCell ref="A67:J67"/>
    <mergeCell ref="A15:J15"/>
    <mergeCell ref="A24:J24"/>
    <mergeCell ref="A73:J73"/>
    <mergeCell ref="H101:J101"/>
    <mergeCell ref="A82:J82"/>
    <mergeCell ref="H33:J33"/>
    <mergeCell ref="H42:J42"/>
    <mergeCell ref="A123:J123"/>
    <mergeCell ref="D96:J96"/>
    <mergeCell ref="A124:J124"/>
    <mergeCell ref="D101:G101"/>
    <mergeCell ref="A7:J7"/>
    <mergeCell ref="H35:J35"/>
    <mergeCell ref="A16:J16"/>
    <mergeCell ref="C39:G39"/>
    <mergeCell ref="A25:J25"/>
    <mergeCell ref="H103:J103"/>
    <mergeCell ref="A84:J84"/>
    <mergeCell ref="D61:G61"/>
    <mergeCell ref="H112:J112"/>
    <mergeCell ref="B134:J134"/>
    <mergeCell ref="C32:G32"/>
    <mergeCell ref="C38:G38"/>
    <mergeCell ref="A18:J18"/>
    <mergeCell ref="G49:J49"/>
    <mergeCell ref="A86:J86"/>
    <mergeCell ref="D103:G103"/>
    <mergeCell ref="A47:J47"/>
    <mergeCell ref="D93:J93"/>
    <mergeCell ref="A22:J22"/>
    <mergeCell ref="C33:G33"/>
    <mergeCell ref="H108:J108"/>
    <mergeCell ref="A122:J122"/>
    <mergeCell ref="H61:J61"/>
    <mergeCell ref="A20:J20"/>
    <mergeCell ref="A125:J125"/>
    <mergeCell ref="A28:J28"/>
    <mergeCell ref="C35:G35"/>
    <mergeCell ref="H32:J32"/>
    <mergeCell ref="C53:F53"/>
    <mergeCell ref="D94:J94"/>
    <mergeCell ref="A127:J127"/>
    <mergeCell ref="H105:J105"/>
    <mergeCell ref="D63:G63"/>
    <mergeCell ref="A79:J79"/>
    <mergeCell ref="B133:J133"/>
    <mergeCell ref="H107:J107"/>
    <mergeCell ref="A88:J88"/>
    <mergeCell ref="D105:G105"/>
    <mergeCell ref="A70:J70"/>
    <mergeCell ref="D95:J95"/>
    <mergeCell ref="B135:J135"/>
    <mergeCell ref="A90:J90"/>
    <mergeCell ref="D107:G107"/>
    <mergeCell ref="A99:J99"/>
    <mergeCell ref="H63:J63"/>
    <mergeCell ref="A74:J74"/>
    <mergeCell ref="H102:J102"/>
    <mergeCell ref="A27:J27"/>
    <mergeCell ref="C37:G37"/>
    <mergeCell ref="H34:J34"/>
    <mergeCell ref="C51:F51"/>
    <mergeCell ref="D106:G106"/>
    <mergeCell ref="H39:J39"/>
    <mergeCell ref="A76:J76"/>
    <mergeCell ref="A85:J85"/>
    <mergeCell ref="D102:G102"/>
    <mergeCell ref="A116:J116"/>
    <mergeCell ref="B136:J136"/>
    <mergeCell ref="H36:J36"/>
    <mergeCell ref="A17:J17"/>
    <mergeCell ref="A126:J126"/>
    <mergeCell ref="G51:J51"/>
    <mergeCell ref="G54:J54"/>
    <mergeCell ref="A10:J10"/>
    <mergeCell ref="A19:J19"/>
    <mergeCell ref="G50:J50"/>
    <mergeCell ref="A68:J68"/>
    <mergeCell ref="A117:J117"/>
    <mergeCell ref="C49:F49"/>
    <mergeCell ref="B137:J137"/>
    <mergeCell ref="H37:J37"/>
    <mergeCell ref="C41:G41"/>
    <mergeCell ref="G52:J52"/>
    <mergeCell ref="A1:J1"/>
    <mergeCell ref="D111:G111"/>
    <mergeCell ref="H62:J62"/>
    <mergeCell ref="C43:G43"/>
    <mergeCell ref="A78:J78"/>
    <mergeCell ref="H106:J106"/>
    <mergeCell ref="A87:J87"/>
    <mergeCell ref="D104:G104"/>
    <mergeCell ref="C36:G36"/>
    <mergeCell ref="C55:F55"/>
    <mergeCell ref="A128:J128"/>
    <mergeCell ref="H43:J43"/>
    <mergeCell ref="A80:J80"/>
    <mergeCell ref="A89:J89"/>
    <mergeCell ref="H41:J41"/>
    <mergeCell ref="A21:J21"/>
    <mergeCell ref="A26:J26"/>
    <mergeCell ref="A129:J1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MDP Race Car — Problem Definition</t>
        </is>
      </c>
    </row>
    <row r="2"/>
    <row r="3">
      <c r="A3" s="2" t="inlineStr">
        <is>
          <t>States (S)</t>
        </is>
      </c>
    </row>
    <row r="4">
      <c r="A4" s="6" t="inlineStr">
        <is>
          <t>State</t>
        </is>
      </c>
      <c r="B4" s="6" t="inlineStr">
        <is>
          <t>Symbol</t>
        </is>
      </c>
      <c r="C4" s="6" t="inlineStr">
        <is>
          <t>Terminal?</t>
        </is>
      </c>
    </row>
    <row r="5">
      <c r="A5" s="9" t="inlineStr">
        <is>
          <t>Cool</t>
        </is>
      </c>
      <c r="B5" s="9" t="inlineStr">
        <is>
          <t>C</t>
        </is>
      </c>
      <c r="C5" s="9" t="inlineStr">
        <is>
          <t>No</t>
        </is>
      </c>
    </row>
    <row r="6">
      <c r="A6" s="9" t="inlineStr">
        <is>
          <t>Warm</t>
        </is>
      </c>
      <c r="B6" s="9" t="inlineStr">
        <is>
          <t>W</t>
        </is>
      </c>
      <c r="C6" s="9" t="inlineStr">
        <is>
          <t>No</t>
        </is>
      </c>
    </row>
    <row r="7">
      <c r="A7" s="20" t="inlineStr">
        <is>
          <t>Overheated</t>
        </is>
      </c>
      <c r="B7" s="20" t="inlineStr">
        <is>
          <t>OH</t>
        </is>
      </c>
      <c r="C7" s="20" t="inlineStr">
        <is>
          <t>Yes</t>
        </is>
      </c>
    </row>
    <row r="8"/>
    <row r="9">
      <c r="A9" s="2" t="inlineStr">
        <is>
          <t>Actions (A)</t>
        </is>
      </c>
    </row>
    <row r="10">
      <c r="A10" s="6" t="inlineStr">
        <is>
          <t>Action</t>
        </is>
      </c>
      <c r="B10" s="6" t="inlineStr">
        <is>
          <t>Symbol</t>
        </is>
      </c>
    </row>
    <row r="11">
      <c r="A11" s="9" t="inlineStr">
        <is>
          <t>Slow</t>
        </is>
      </c>
      <c r="B11" s="9" t="inlineStr">
        <is>
          <t>S</t>
        </is>
      </c>
    </row>
    <row r="12">
      <c r="A12" s="9" t="inlineStr">
        <is>
          <t>Fast</t>
        </is>
      </c>
      <c r="B12" s="9" t="inlineStr">
        <is>
          <t>F</t>
        </is>
      </c>
    </row>
    <row r="13"/>
    <row r="14">
      <c r="A14" s="2" t="inlineStr">
        <is>
          <t>Transition Probabilities P(s'|s,a)</t>
        </is>
      </c>
    </row>
    <row r="15">
      <c r="A15" s="6" t="inlineStr">
        <is>
          <t>s</t>
        </is>
      </c>
      <c r="B15" s="6" t="inlineStr">
        <is>
          <t>a</t>
        </is>
      </c>
      <c r="C15" s="6" t="inlineStr">
        <is>
          <t>P(s'=C)</t>
        </is>
      </c>
      <c r="D15" s="6" t="inlineStr">
        <is>
          <t>P(s'=W)</t>
        </is>
      </c>
      <c r="E15" s="6" t="inlineStr">
        <is>
          <t>P(s'=OH)</t>
        </is>
      </c>
      <c r="F15" s="6" t="inlineStr">
        <is>
          <t>Sum ✱</t>
        </is>
      </c>
    </row>
    <row r="16">
      <c r="A16" s="9" t="inlineStr">
        <is>
          <t>Cool</t>
        </is>
      </c>
      <c r="B16" s="9" t="inlineStr">
        <is>
          <t>Slow</t>
        </is>
      </c>
      <c r="C16" s="9" t="n">
        <v>0.5</v>
      </c>
      <c r="D16" s="9" t="n">
        <v>0.5</v>
      </c>
      <c r="E16" s="9" t="n">
        <v>0</v>
      </c>
      <c r="F16" s="29">
        <f>C16+D16+E16</f>
        <v/>
      </c>
    </row>
    <row r="17">
      <c r="A17" s="9" t="inlineStr">
        <is>
          <t>Cool</t>
        </is>
      </c>
      <c r="B17" s="9" t="inlineStr">
        <is>
          <t>Fast</t>
        </is>
      </c>
      <c r="C17" s="9" t="n">
        <v>0.5</v>
      </c>
      <c r="D17" s="9" t="n">
        <v>0.5</v>
      </c>
      <c r="E17" s="9" t="n">
        <v>0</v>
      </c>
      <c r="F17" s="29">
        <f>C17+D17+E17</f>
        <v/>
      </c>
    </row>
    <row r="18">
      <c r="A18" s="9" t="inlineStr">
        <is>
          <t>Warm</t>
        </is>
      </c>
      <c r="B18" s="9" t="inlineStr">
        <is>
          <t>Slow</t>
        </is>
      </c>
      <c r="C18" s="9" t="n">
        <v>0.5</v>
      </c>
      <c r="D18" s="9" t="n">
        <v>0.5</v>
      </c>
      <c r="E18" s="9" t="n">
        <v>0</v>
      </c>
      <c r="F18" s="29">
        <f>C18+D18+E18</f>
        <v/>
      </c>
    </row>
    <row r="19">
      <c r="A19" s="9" t="inlineStr">
        <is>
          <t>Warm</t>
        </is>
      </c>
      <c r="B19" s="9" t="inlineStr">
        <is>
          <t>Fast</t>
        </is>
      </c>
      <c r="C19" s="9" t="n">
        <v>0</v>
      </c>
      <c r="D19" s="9" t="n">
        <v>0</v>
      </c>
      <c r="E19" s="9" t="n">
        <v>1</v>
      </c>
      <c r="F19" s="29">
        <f>C19+D19+E19</f>
        <v/>
      </c>
    </row>
    <row r="20"/>
    <row r="21">
      <c r="A21" s="2" t="inlineStr">
        <is>
          <t>Reward Function R(s,a,s')</t>
        </is>
      </c>
    </row>
    <row r="22">
      <c r="A22" s="6" t="inlineStr">
        <is>
          <t>Condition</t>
        </is>
      </c>
      <c r="B22" s="6" t="inlineStr">
        <is>
          <t>R</t>
        </is>
      </c>
    </row>
    <row r="23">
      <c r="A23" s="9" t="inlineStr">
        <is>
          <t>s' non-terminal, a=Slow</t>
        </is>
      </c>
      <c r="B23" s="9" t="n">
        <v>1</v>
      </c>
    </row>
    <row r="24">
      <c r="A24" s="9" t="inlineStr">
        <is>
          <t>s' non-terminal, a=Fast</t>
        </is>
      </c>
      <c r="B24" s="9" t="n">
        <v>2</v>
      </c>
    </row>
    <row r="25">
      <c r="A25" s="9" t="inlineStr">
        <is>
          <t>s'=Overheated</t>
        </is>
      </c>
      <c r="B25" s="9" t="n">
        <v>-10</v>
      </c>
    </row>
    <row r="26"/>
    <row r="27">
      <c r="A27" s="2" t="inlineStr">
        <is>
          <t>Parameters</t>
        </is>
      </c>
    </row>
    <row r="28">
      <c r="A28" s="9" t="inlineStr">
        <is>
          <t>γ (gamma)</t>
        </is>
      </c>
      <c r="B28" s="9" t="n">
        <v>0.9</v>
      </c>
    </row>
    <row r="29">
      <c r="A29" s="9" t="inlineStr">
        <is>
          <t>α (learning rate)</t>
        </is>
      </c>
      <c r="B29" s="9" t="n">
        <v>0.1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  <col width="58" customWidth="1" min="4" max="4"/>
    <col width="38" customWidth="1" min="5" max="5"/>
    <col width="14" customWidth="1" min="6" max="6"/>
    <col width="37" customWidth="1" min="7" max="7"/>
    <col width="37" customWidth="1" min="8" max="8"/>
    <col width="14" customWidth="1" min="9" max="9"/>
    <col width="38" customWidth="1" min="10" max="10"/>
    <col width="38" customWidth="1" min="11" max="11"/>
  </cols>
  <sheetData>
    <row r="1">
      <c r="A1" s="1" t="inlineStr">
        <is>
          <t>DP — Policy Evaluation: Synchronous vs In-Place</t>
        </is>
      </c>
    </row>
    <row r="2">
      <c r="A2" s="4" t="inlineStr">
        <is>
          <t>Synchronous: V_{k+1}(s) uses V_k for ALL states (full previous sweep).  In-Place: V(s) uses latest available values within the SAME sweep.</t>
        </is>
      </c>
    </row>
    <row r="3">
      <c r="A3" s="4" t="inlineStr">
        <is>
          <t>k = iteration (one full sweep). Both converge to the same V^π — in-place is often faster. The Bellman EQUATION describes the fixed point; these are two ALGORITHMS to reach it.</t>
        </is>
      </c>
    </row>
    <row r="4"/>
    <row r="5">
      <c r="A5" s="2" t="inlineStr">
        <is>
          <t>Policy 1: Cautious (Always Slow)</t>
        </is>
      </c>
    </row>
    <row r="6">
      <c r="A6" s="4" t="inlineStr">
        <is>
          <t>SYNCHRONOUS: V_{k+1}(C) = 0.5·(1+γ·V_k(C)) + 0.5·(1+γ·V_k(W)).  V_{k+1}(W) same.  Both from PREVIOUS sweep k.</t>
        </is>
      </c>
    </row>
    <row r="7">
      <c r="A7" s="4" t="inlineStr">
        <is>
          <t>IN-PLACE: V(C) ← 0.5·(1+γ·V_old(C)) + 0.5·(1+γ·V_old(W)).  Then V(W) ← 0.5·(1+γ·V_NEW(C)) + 0.5·(1+γ·V_old(W)).  Cool updated first!</t>
        </is>
      </c>
    </row>
    <row r="8">
      <c r="A8" s="6" t="inlineStr">
        <is>
          <t>k</t>
        </is>
      </c>
      <c r="B8" s="6" t="inlineStr">
        <is>
          <t>V_k(C) sync ✱</t>
        </is>
      </c>
      <c r="C8" s="6" t="inlineStr">
        <is>
          <t>V_k(W) sync ✱</t>
        </is>
      </c>
      <c r="D8" s="6" t="inlineStr">
        <is>
          <t>V_k(OH)</t>
        </is>
      </c>
      <c r="E8" s="6" t="inlineStr">
        <is>
          <t>|ΔV| sync ✱</t>
        </is>
      </c>
      <c r="F8" s="30" t="inlineStr"/>
      <c r="G8" s="6" t="inlineStr">
        <is>
          <t>V_k(C) inplace ✱</t>
        </is>
      </c>
      <c r="H8" s="6" t="inlineStr">
        <is>
          <t>V_k(W) inplace ✱</t>
        </is>
      </c>
      <c r="I8" s="6" t="inlineStr">
        <is>
          <t>V_k(OH)</t>
        </is>
      </c>
      <c r="J8" s="6" t="inlineStr">
        <is>
          <t>|ΔV| inplace ✱</t>
        </is>
      </c>
      <c r="K8" s="6" t="inlineStr">
        <is>
          <t>Diff ✱</t>
        </is>
      </c>
    </row>
    <row r="9">
      <c r="A9" s="9" t="n">
        <v>0</v>
      </c>
      <c r="B9" s="9" t="n">
        <v>0</v>
      </c>
      <c r="C9" s="9" t="n">
        <v>0</v>
      </c>
      <c r="D9" s="9" t="n">
        <v>0</v>
      </c>
      <c r="E9" s="9" t="inlineStr">
        <is>
          <t>—</t>
        </is>
      </c>
      <c r="F9" s="9" t="inlineStr"/>
      <c r="G9" s="9" t="n">
        <v>0</v>
      </c>
      <c r="H9" s="9" t="n">
        <v>0</v>
      </c>
      <c r="I9" s="9" t="n">
        <v>0</v>
      </c>
      <c r="J9" s="9" t="inlineStr">
        <is>
          <t>—</t>
        </is>
      </c>
      <c r="K9" s="9" t="inlineStr">
        <is>
          <t>—</t>
        </is>
      </c>
    </row>
    <row r="10">
      <c r="A10" s="9" t="n">
        <v>1</v>
      </c>
      <c r="B10" s="29">
        <f>0.5*(1+0.9*B9)+0.5*(1+0.9*C9)</f>
        <v/>
      </c>
      <c r="C10" s="29">
        <f>0.5*(1+0.9*B9)+0.5*(1+0.9*C9)</f>
        <v/>
      </c>
      <c r="D10" s="9" t="n">
        <v>0</v>
      </c>
      <c r="E10" s="29">
        <f>MAX(ABS(B10-B9),ABS(C10-C9))</f>
        <v/>
      </c>
      <c r="F10" s="9" t="inlineStr"/>
      <c r="G10" s="29">
        <f>0.5*(1+0.9*G9)+0.5*(1+0.9*H9)</f>
        <v/>
      </c>
      <c r="H10" s="29">
        <f>0.5*(1+0.9*G10)+0.5*(1+0.9*H9)</f>
        <v/>
      </c>
      <c r="I10" s="9" t="n">
        <v>0</v>
      </c>
      <c r="J10" s="29">
        <f>MAX(ABS(G10-G9),ABS(H10-H9))</f>
        <v/>
      </c>
      <c r="K10" s="29">
        <f>MAX(ABS(B10-G10),ABS(C10-H10))</f>
        <v/>
      </c>
    </row>
    <row r="11">
      <c r="A11" s="9" t="n">
        <v>2</v>
      </c>
      <c r="B11" s="29">
        <f>0.5*(1+0.9*B10)+0.5*(1+0.9*C10)</f>
        <v/>
      </c>
      <c r="C11" s="29">
        <f>0.5*(1+0.9*B10)+0.5*(1+0.9*C10)</f>
        <v/>
      </c>
      <c r="D11" s="9" t="n">
        <v>0</v>
      </c>
      <c r="E11" s="29">
        <f>MAX(ABS(B11-B10),ABS(C11-C10))</f>
        <v/>
      </c>
      <c r="F11" s="9" t="inlineStr"/>
      <c r="G11" s="29">
        <f>0.5*(1+0.9*G10)+0.5*(1+0.9*H10)</f>
        <v/>
      </c>
      <c r="H11" s="29">
        <f>0.5*(1+0.9*G11)+0.5*(1+0.9*H10)</f>
        <v/>
      </c>
      <c r="I11" s="9" t="n">
        <v>0</v>
      </c>
      <c r="J11" s="29">
        <f>MAX(ABS(G11-G10),ABS(H11-H10))</f>
        <v/>
      </c>
      <c r="K11" s="29">
        <f>MAX(ABS(B11-G11),ABS(C11-H11))</f>
        <v/>
      </c>
    </row>
    <row r="12">
      <c r="A12" s="9" t="n">
        <v>3</v>
      </c>
      <c r="B12" s="29">
        <f>0.5*(1+0.9*B11)+0.5*(1+0.9*C11)</f>
        <v/>
      </c>
      <c r="C12" s="29">
        <f>0.5*(1+0.9*B11)+0.5*(1+0.9*C11)</f>
        <v/>
      </c>
      <c r="D12" s="9" t="n">
        <v>0</v>
      </c>
      <c r="E12" s="29">
        <f>MAX(ABS(B12-B11),ABS(C12-C11))</f>
        <v/>
      </c>
      <c r="F12" s="9" t="inlineStr"/>
      <c r="G12" s="29">
        <f>0.5*(1+0.9*G11)+0.5*(1+0.9*H11)</f>
        <v/>
      </c>
      <c r="H12" s="29">
        <f>0.5*(1+0.9*G12)+0.5*(1+0.9*H11)</f>
        <v/>
      </c>
      <c r="I12" s="9" t="n">
        <v>0</v>
      </c>
      <c r="J12" s="29">
        <f>MAX(ABS(G12-G11),ABS(H12-H11))</f>
        <v/>
      </c>
      <c r="K12" s="29">
        <f>MAX(ABS(B12-G12),ABS(C12-H12))</f>
        <v/>
      </c>
    </row>
    <row r="13">
      <c r="A13" s="9" t="n">
        <v>4</v>
      </c>
      <c r="B13" s="29">
        <f>0.5*(1+0.9*B12)+0.5*(1+0.9*C12)</f>
        <v/>
      </c>
      <c r="C13" s="29">
        <f>0.5*(1+0.9*B12)+0.5*(1+0.9*C12)</f>
        <v/>
      </c>
      <c r="D13" s="9" t="n">
        <v>0</v>
      </c>
      <c r="E13" s="29">
        <f>MAX(ABS(B13-B12),ABS(C13-C12))</f>
        <v/>
      </c>
      <c r="F13" s="9" t="inlineStr"/>
      <c r="G13" s="29">
        <f>0.5*(1+0.9*G12)+0.5*(1+0.9*H12)</f>
        <v/>
      </c>
      <c r="H13" s="29">
        <f>0.5*(1+0.9*G13)+0.5*(1+0.9*H12)</f>
        <v/>
      </c>
      <c r="I13" s="9" t="n">
        <v>0</v>
      </c>
      <c r="J13" s="29">
        <f>MAX(ABS(G13-G12),ABS(H13-H12))</f>
        <v/>
      </c>
      <c r="K13" s="29">
        <f>MAX(ABS(B13-G13),ABS(C13-H13))</f>
        <v/>
      </c>
    </row>
    <row r="14">
      <c r="A14" s="9" t="n">
        <v>5</v>
      </c>
      <c r="B14" s="29">
        <f>0.5*(1+0.9*B13)+0.5*(1+0.9*C13)</f>
        <v/>
      </c>
      <c r="C14" s="29">
        <f>0.5*(1+0.9*B13)+0.5*(1+0.9*C13)</f>
        <v/>
      </c>
      <c r="D14" s="9" t="n">
        <v>0</v>
      </c>
      <c r="E14" s="29">
        <f>MAX(ABS(B14-B13),ABS(C14-C13))</f>
        <v/>
      </c>
      <c r="F14" s="9" t="inlineStr"/>
      <c r="G14" s="29">
        <f>0.5*(1+0.9*G13)+0.5*(1+0.9*H13)</f>
        <v/>
      </c>
      <c r="H14" s="29">
        <f>0.5*(1+0.9*G14)+0.5*(1+0.9*H13)</f>
        <v/>
      </c>
      <c r="I14" s="9" t="n">
        <v>0</v>
      </c>
      <c r="J14" s="29">
        <f>MAX(ABS(G14-G13),ABS(H14-H13))</f>
        <v/>
      </c>
      <c r="K14" s="29">
        <f>MAX(ABS(B14-G14),ABS(C14-H14))</f>
        <v/>
      </c>
    </row>
    <row r="15">
      <c r="A15" s="9" t="n">
        <v>6</v>
      </c>
      <c r="B15" s="29">
        <f>0.5*(1+0.9*B14)+0.5*(1+0.9*C14)</f>
        <v/>
      </c>
      <c r="C15" s="29">
        <f>0.5*(1+0.9*B14)+0.5*(1+0.9*C14)</f>
        <v/>
      </c>
      <c r="D15" s="9" t="n">
        <v>0</v>
      </c>
      <c r="E15" s="29">
        <f>MAX(ABS(B15-B14),ABS(C15-C14))</f>
        <v/>
      </c>
      <c r="F15" s="9" t="inlineStr"/>
      <c r="G15" s="29">
        <f>0.5*(1+0.9*G14)+0.5*(1+0.9*H14)</f>
        <v/>
      </c>
      <c r="H15" s="29">
        <f>0.5*(1+0.9*G15)+0.5*(1+0.9*H14)</f>
        <v/>
      </c>
      <c r="I15" s="9" t="n">
        <v>0</v>
      </c>
      <c r="J15" s="29">
        <f>MAX(ABS(G15-G14),ABS(H15-H14))</f>
        <v/>
      </c>
      <c r="K15" s="29">
        <f>MAX(ABS(B15-G15),ABS(C15-H15))</f>
        <v/>
      </c>
    </row>
    <row r="16">
      <c r="A16" s="9" t="n">
        <v>7</v>
      </c>
      <c r="B16" s="29">
        <f>0.5*(1+0.9*B15)+0.5*(1+0.9*C15)</f>
        <v/>
      </c>
      <c r="C16" s="29">
        <f>0.5*(1+0.9*B15)+0.5*(1+0.9*C15)</f>
        <v/>
      </c>
      <c r="D16" s="9" t="n">
        <v>0</v>
      </c>
      <c r="E16" s="29">
        <f>MAX(ABS(B16-B15),ABS(C16-C15))</f>
        <v/>
      </c>
      <c r="F16" s="9" t="inlineStr"/>
      <c r="G16" s="29">
        <f>0.5*(1+0.9*G15)+0.5*(1+0.9*H15)</f>
        <v/>
      </c>
      <c r="H16" s="29">
        <f>0.5*(1+0.9*G16)+0.5*(1+0.9*H15)</f>
        <v/>
      </c>
      <c r="I16" s="9" t="n">
        <v>0</v>
      </c>
      <c r="J16" s="29">
        <f>MAX(ABS(G16-G15),ABS(H16-H15))</f>
        <v/>
      </c>
      <c r="K16" s="29">
        <f>MAX(ABS(B16-G16),ABS(C16-H16))</f>
        <v/>
      </c>
    </row>
    <row r="17">
      <c r="A17" s="9" t="n">
        <v>8</v>
      </c>
      <c r="B17" s="29">
        <f>0.5*(1+0.9*B16)+0.5*(1+0.9*C16)</f>
        <v/>
      </c>
      <c r="C17" s="29">
        <f>0.5*(1+0.9*B16)+0.5*(1+0.9*C16)</f>
        <v/>
      </c>
      <c r="D17" s="9" t="n">
        <v>0</v>
      </c>
      <c r="E17" s="29">
        <f>MAX(ABS(B17-B16),ABS(C17-C16))</f>
        <v/>
      </c>
      <c r="F17" s="9" t="inlineStr"/>
      <c r="G17" s="29">
        <f>0.5*(1+0.9*G16)+0.5*(1+0.9*H16)</f>
        <v/>
      </c>
      <c r="H17" s="29">
        <f>0.5*(1+0.9*G17)+0.5*(1+0.9*H16)</f>
        <v/>
      </c>
      <c r="I17" s="9" t="n">
        <v>0</v>
      </c>
      <c r="J17" s="29">
        <f>MAX(ABS(G17-G16),ABS(H17-H16))</f>
        <v/>
      </c>
      <c r="K17" s="29">
        <f>MAX(ABS(B17-G17),ABS(C17-H17))</f>
        <v/>
      </c>
    </row>
    <row r="18">
      <c r="A18" s="9" t="n">
        <v>9</v>
      </c>
      <c r="B18" s="29">
        <f>0.5*(1+0.9*B17)+0.5*(1+0.9*C17)</f>
        <v/>
      </c>
      <c r="C18" s="29">
        <f>0.5*(1+0.9*B17)+0.5*(1+0.9*C17)</f>
        <v/>
      </c>
      <c r="D18" s="9" t="n">
        <v>0</v>
      </c>
      <c r="E18" s="29">
        <f>MAX(ABS(B18-B17),ABS(C18-C17))</f>
        <v/>
      </c>
      <c r="F18" s="9" t="inlineStr"/>
      <c r="G18" s="29">
        <f>0.5*(1+0.9*G17)+0.5*(1+0.9*H17)</f>
        <v/>
      </c>
      <c r="H18" s="29">
        <f>0.5*(1+0.9*G18)+0.5*(1+0.9*H17)</f>
        <v/>
      </c>
      <c r="I18" s="9" t="n">
        <v>0</v>
      </c>
      <c r="J18" s="29">
        <f>MAX(ABS(G18-G17),ABS(H18-H17))</f>
        <v/>
      </c>
      <c r="K18" s="29">
        <f>MAX(ABS(B18-G18),ABS(C18-H18))</f>
        <v/>
      </c>
    </row>
    <row r="19">
      <c r="A19" s="9" t="n">
        <v>10</v>
      </c>
      <c r="B19" s="29">
        <f>0.5*(1+0.9*B18)+0.5*(1+0.9*C18)</f>
        <v/>
      </c>
      <c r="C19" s="29">
        <f>0.5*(1+0.9*B18)+0.5*(1+0.9*C18)</f>
        <v/>
      </c>
      <c r="D19" s="9" t="n">
        <v>0</v>
      </c>
      <c r="E19" s="29">
        <f>MAX(ABS(B19-B18),ABS(C19-C18))</f>
        <v/>
      </c>
      <c r="F19" s="9" t="inlineStr"/>
      <c r="G19" s="29">
        <f>0.5*(1+0.9*G18)+0.5*(1+0.9*H18)</f>
        <v/>
      </c>
      <c r="H19" s="29">
        <f>0.5*(1+0.9*G19)+0.5*(1+0.9*H18)</f>
        <v/>
      </c>
      <c r="I19" s="9" t="n">
        <v>0</v>
      </c>
      <c r="J19" s="29">
        <f>MAX(ABS(G19-G18),ABS(H19-H18))</f>
        <v/>
      </c>
      <c r="K19" s="29">
        <f>MAX(ABS(B19-G19),ABS(C19-H19))</f>
        <v/>
      </c>
    </row>
    <row r="20">
      <c r="A20" s="9" t="n">
        <v>11</v>
      </c>
      <c r="B20" s="29">
        <f>0.5*(1+0.9*B19)+0.5*(1+0.9*C19)</f>
        <v/>
      </c>
      <c r="C20" s="29">
        <f>0.5*(1+0.9*B19)+0.5*(1+0.9*C19)</f>
        <v/>
      </c>
      <c r="D20" s="9" t="n">
        <v>0</v>
      </c>
      <c r="E20" s="29">
        <f>MAX(ABS(B20-B19),ABS(C20-C19))</f>
        <v/>
      </c>
      <c r="F20" s="9" t="inlineStr"/>
      <c r="G20" s="29">
        <f>0.5*(1+0.9*G19)+0.5*(1+0.9*H19)</f>
        <v/>
      </c>
      <c r="H20" s="29">
        <f>0.5*(1+0.9*G20)+0.5*(1+0.9*H19)</f>
        <v/>
      </c>
      <c r="I20" s="9" t="n">
        <v>0</v>
      </c>
      <c r="J20" s="29">
        <f>MAX(ABS(G20-G19),ABS(H20-H19))</f>
        <v/>
      </c>
      <c r="K20" s="29">
        <f>MAX(ABS(B20-G20),ABS(C20-H20))</f>
        <v/>
      </c>
    </row>
    <row r="21">
      <c r="A21" s="9" t="n">
        <v>12</v>
      </c>
      <c r="B21" s="29">
        <f>0.5*(1+0.9*B20)+0.5*(1+0.9*C20)</f>
        <v/>
      </c>
      <c r="C21" s="29">
        <f>0.5*(1+0.9*B20)+0.5*(1+0.9*C20)</f>
        <v/>
      </c>
      <c r="D21" s="9" t="n">
        <v>0</v>
      </c>
      <c r="E21" s="29">
        <f>MAX(ABS(B21-B20),ABS(C21-C20))</f>
        <v/>
      </c>
      <c r="F21" s="9" t="inlineStr"/>
      <c r="G21" s="29">
        <f>0.5*(1+0.9*G20)+0.5*(1+0.9*H20)</f>
        <v/>
      </c>
      <c r="H21" s="29">
        <f>0.5*(1+0.9*G21)+0.5*(1+0.9*H20)</f>
        <v/>
      </c>
      <c r="I21" s="9" t="n">
        <v>0</v>
      </c>
      <c r="J21" s="29">
        <f>MAX(ABS(G21-G20),ABS(H21-H20))</f>
        <v/>
      </c>
      <c r="K21" s="29">
        <f>MAX(ABS(B21-G21),ABS(C21-H21))</f>
        <v/>
      </c>
    </row>
    <row r="22">
      <c r="A22" s="9" t="n">
        <v>13</v>
      </c>
      <c r="B22" s="29">
        <f>0.5*(1+0.9*B21)+0.5*(1+0.9*C21)</f>
        <v/>
      </c>
      <c r="C22" s="29">
        <f>0.5*(1+0.9*B21)+0.5*(1+0.9*C21)</f>
        <v/>
      </c>
      <c r="D22" s="9" t="n">
        <v>0</v>
      </c>
      <c r="E22" s="29">
        <f>MAX(ABS(B22-B21),ABS(C22-C21))</f>
        <v/>
      </c>
      <c r="F22" s="9" t="inlineStr"/>
      <c r="G22" s="29">
        <f>0.5*(1+0.9*G21)+0.5*(1+0.9*H21)</f>
        <v/>
      </c>
      <c r="H22" s="29">
        <f>0.5*(1+0.9*G22)+0.5*(1+0.9*H21)</f>
        <v/>
      </c>
      <c r="I22" s="9" t="n">
        <v>0</v>
      </c>
      <c r="J22" s="29">
        <f>MAX(ABS(G22-G21),ABS(H22-H21))</f>
        <v/>
      </c>
      <c r="K22" s="29">
        <f>MAX(ABS(B22-G22),ABS(C22-H22))</f>
        <v/>
      </c>
    </row>
    <row r="23">
      <c r="A23" s="9" t="n">
        <v>14</v>
      </c>
      <c r="B23" s="29">
        <f>0.5*(1+0.9*B22)+0.5*(1+0.9*C22)</f>
        <v/>
      </c>
      <c r="C23" s="29">
        <f>0.5*(1+0.9*B22)+0.5*(1+0.9*C22)</f>
        <v/>
      </c>
      <c r="D23" s="9" t="n">
        <v>0</v>
      </c>
      <c r="E23" s="29">
        <f>MAX(ABS(B23-B22),ABS(C23-C22))</f>
        <v/>
      </c>
      <c r="F23" s="9" t="inlineStr"/>
      <c r="G23" s="29">
        <f>0.5*(1+0.9*G22)+0.5*(1+0.9*H22)</f>
        <v/>
      </c>
      <c r="H23" s="29">
        <f>0.5*(1+0.9*G23)+0.5*(1+0.9*H22)</f>
        <v/>
      </c>
      <c r="I23" s="9" t="n">
        <v>0</v>
      </c>
      <c r="J23" s="29">
        <f>MAX(ABS(G23-G22),ABS(H23-H22))</f>
        <v/>
      </c>
      <c r="K23" s="29">
        <f>MAX(ABS(B23-G23),ABS(C23-H23))</f>
        <v/>
      </c>
    </row>
    <row r="24">
      <c r="A24" s="9" t="n">
        <v>15</v>
      </c>
      <c r="B24" s="29">
        <f>0.5*(1+0.9*B23)+0.5*(1+0.9*C23)</f>
        <v/>
      </c>
      <c r="C24" s="29">
        <f>0.5*(1+0.9*B23)+0.5*(1+0.9*C23)</f>
        <v/>
      </c>
      <c r="D24" s="9" t="n">
        <v>0</v>
      </c>
      <c r="E24" s="29">
        <f>MAX(ABS(B24-B23),ABS(C24-C23))</f>
        <v/>
      </c>
      <c r="F24" s="9" t="inlineStr"/>
      <c r="G24" s="29">
        <f>0.5*(1+0.9*G23)+0.5*(1+0.9*H23)</f>
        <v/>
      </c>
      <c r="H24" s="29">
        <f>0.5*(1+0.9*G24)+0.5*(1+0.9*H23)</f>
        <v/>
      </c>
      <c r="I24" s="9" t="n">
        <v>0</v>
      </c>
      <c r="J24" s="29">
        <f>MAX(ABS(G24-G23),ABS(H24-H23))</f>
        <v/>
      </c>
      <c r="K24" s="29">
        <f>MAX(ABS(B24-G24),ABS(C24-H24))</f>
        <v/>
      </c>
    </row>
    <row r="25">
      <c r="A25" s="9" t="n">
        <v>16</v>
      </c>
      <c r="B25" s="29">
        <f>0.5*(1+0.9*B24)+0.5*(1+0.9*C24)</f>
        <v/>
      </c>
      <c r="C25" s="29">
        <f>0.5*(1+0.9*B24)+0.5*(1+0.9*C24)</f>
        <v/>
      </c>
      <c r="D25" s="9" t="n">
        <v>0</v>
      </c>
      <c r="E25" s="29">
        <f>MAX(ABS(B25-B24),ABS(C25-C24))</f>
        <v/>
      </c>
      <c r="F25" s="9" t="inlineStr"/>
      <c r="G25" s="29">
        <f>0.5*(1+0.9*G24)+0.5*(1+0.9*H24)</f>
        <v/>
      </c>
      <c r="H25" s="29">
        <f>0.5*(1+0.9*G25)+0.5*(1+0.9*H24)</f>
        <v/>
      </c>
      <c r="I25" s="9" t="n">
        <v>0</v>
      </c>
      <c r="J25" s="29">
        <f>MAX(ABS(G25-G24),ABS(H25-H24))</f>
        <v/>
      </c>
      <c r="K25" s="29">
        <f>MAX(ABS(B25-G25),ABS(C25-H25))</f>
        <v/>
      </c>
    </row>
    <row r="26">
      <c r="A26" s="9" t="n">
        <v>17</v>
      </c>
      <c r="B26" s="29">
        <f>0.5*(1+0.9*B25)+0.5*(1+0.9*C25)</f>
        <v/>
      </c>
      <c r="C26" s="29">
        <f>0.5*(1+0.9*B25)+0.5*(1+0.9*C25)</f>
        <v/>
      </c>
      <c r="D26" s="9" t="n">
        <v>0</v>
      </c>
      <c r="E26" s="29">
        <f>MAX(ABS(B26-B25),ABS(C26-C25))</f>
        <v/>
      </c>
      <c r="F26" s="9" t="inlineStr"/>
      <c r="G26" s="29">
        <f>0.5*(1+0.9*G25)+0.5*(1+0.9*H25)</f>
        <v/>
      </c>
      <c r="H26" s="29">
        <f>0.5*(1+0.9*G26)+0.5*(1+0.9*H25)</f>
        <v/>
      </c>
      <c r="I26" s="9" t="n">
        <v>0</v>
      </c>
      <c r="J26" s="29">
        <f>MAX(ABS(G26-G25),ABS(H26-H25))</f>
        <v/>
      </c>
      <c r="K26" s="29">
        <f>MAX(ABS(B26-G26),ABS(C26-H26))</f>
        <v/>
      </c>
    </row>
    <row r="27">
      <c r="A27" s="9" t="n">
        <v>18</v>
      </c>
      <c r="B27" s="29">
        <f>0.5*(1+0.9*B26)+0.5*(1+0.9*C26)</f>
        <v/>
      </c>
      <c r="C27" s="29">
        <f>0.5*(1+0.9*B26)+0.5*(1+0.9*C26)</f>
        <v/>
      </c>
      <c r="D27" s="9" t="n">
        <v>0</v>
      </c>
      <c r="E27" s="29">
        <f>MAX(ABS(B27-B26),ABS(C27-C26))</f>
        <v/>
      </c>
      <c r="F27" s="9" t="inlineStr"/>
      <c r="G27" s="29">
        <f>0.5*(1+0.9*G26)+0.5*(1+0.9*H26)</f>
        <v/>
      </c>
      <c r="H27" s="29">
        <f>0.5*(1+0.9*G27)+0.5*(1+0.9*H26)</f>
        <v/>
      </c>
      <c r="I27" s="9" t="n">
        <v>0</v>
      </c>
      <c r="J27" s="29">
        <f>MAX(ABS(G27-G26),ABS(H27-H26))</f>
        <v/>
      </c>
      <c r="K27" s="29">
        <f>MAX(ABS(B27-G27),ABS(C27-H27))</f>
        <v/>
      </c>
    </row>
    <row r="28">
      <c r="A28" s="9" t="n">
        <v>19</v>
      </c>
      <c r="B28" s="29">
        <f>0.5*(1+0.9*B27)+0.5*(1+0.9*C27)</f>
        <v/>
      </c>
      <c r="C28" s="29">
        <f>0.5*(1+0.9*B27)+0.5*(1+0.9*C27)</f>
        <v/>
      </c>
      <c r="D28" s="9" t="n">
        <v>0</v>
      </c>
      <c r="E28" s="29">
        <f>MAX(ABS(B28-B27),ABS(C28-C27))</f>
        <v/>
      </c>
      <c r="F28" s="9" t="inlineStr"/>
      <c r="G28" s="29">
        <f>0.5*(1+0.9*G27)+0.5*(1+0.9*H27)</f>
        <v/>
      </c>
      <c r="H28" s="29">
        <f>0.5*(1+0.9*G28)+0.5*(1+0.9*H27)</f>
        <v/>
      </c>
      <c r="I28" s="9" t="n">
        <v>0</v>
      </c>
      <c r="J28" s="29">
        <f>MAX(ABS(G28-G27),ABS(H28-H27))</f>
        <v/>
      </c>
      <c r="K28" s="29">
        <f>MAX(ABS(B28-G28),ABS(C28-H28))</f>
        <v/>
      </c>
    </row>
    <row r="29">
      <c r="A29" s="9" t="n">
        <v>20</v>
      </c>
      <c r="B29" s="29">
        <f>0.5*(1+0.9*B28)+0.5*(1+0.9*C28)</f>
        <v/>
      </c>
      <c r="C29" s="29">
        <f>0.5*(1+0.9*B28)+0.5*(1+0.9*C28)</f>
        <v/>
      </c>
      <c r="D29" s="9" t="n">
        <v>0</v>
      </c>
      <c r="E29" s="29">
        <f>MAX(ABS(B29-B28),ABS(C29-C28))</f>
        <v/>
      </c>
      <c r="F29" s="9" t="inlineStr"/>
      <c r="G29" s="29">
        <f>0.5*(1+0.9*G28)+0.5*(1+0.9*H28)</f>
        <v/>
      </c>
      <c r="H29" s="29">
        <f>0.5*(1+0.9*G29)+0.5*(1+0.9*H28)</f>
        <v/>
      </c>
      <c r="I29" s="9" t="n">
        <v>0</v>
      </c>
      <c r="J29" s="29">
        <f>MAX(ABS(G29-G28),ABS(H29-H28))</f>
        <v/>
      </c>
      <c r="K29" s="29">
        <f>MAX(ABS(B29-G29),ABS(C29-H29))</f>
        <v/>
      </c>
    </row>
    <row r="30">
      <c r="A30" s="9" t="n">
        <v>21</v>
      </c>
      <c r="B30" s="29">
        <f>0.5*(1+0.9*B29)+0.5*(1+0.9*C29)</f>
        <v/>
      </c>
      <c r="C30" s="29">
        <f>0.5*(1+0.9*B29)+0.5*(1+0.9*C29)</f>
        <v/>
      </c>
      <c r="D30" s="9" t="n">
        <v>0</v>
      </c>
      <c r="E30" s="29">
        <f>MAX(ABS(B30-B29),ABS(C30-C29))</f>
        <v/>
      </c>
      <c r="F30" s="9" t="inlineStr"/>
      <c r="G30" s="29">
        <f>0.5*(1+0.9*G29)+0.5*(1+0.9*H29)</f>
        <v/>
      </c>
      <c r="H30" s="29">
        <f>0.5*(1+0.9*G30)+0.5*(1+0.9*H29)</f>
        <v/>
      </c>
      <c r="I30" s="9" t="n">
        <v>0</v>
      </c>
      <c r="J30" s="29">
        <f>MAX(ABS(G30-G29),ABS(H30-H29))</f>
        <v/>
      </c>
      <c r="K30" s="29">
        <f>MAX(ABS(B30-G30),ABS(C30-H30))</f>
        <v/>
      </c>
    </row>
    <row r="31">
      <c r="A31" s="9" t="n">
        <v>22</v>
      </c>
      <c r="B31" s="29">
        <f>0.5*(1+0.9*B30)+0.5*(1+0.9*C30)</f>
        <v/>
      </c>
      <c r="C31" s="29">
        <f>0.5*(1+0.9*B30)+0.5*(1+0.9*C30)</f>
        <v/>
      </c>
      <c r="D31" s="9" t="n">
        <v>0</v>
      </c>
      <c r="E31" s="29">
        <f>MAX(ABS(B31-B30),ABS(C31-C30))</f>
        <v/>
      </c>
      <c r="F31" s="9" t="inlineStr"/>
      <c r="G31" s="29">
        <f>0.5*(1+0.9*G30)+0.5*(1+0.9*H30)</f>
        <v/>
      </c>
      <c r="H31" s="29">
        <f>0.5*(1+0.9*G31)+0.5*(1+0.9*H30)</f>
        <v/>
      </c>
      <c r="I31" s="9" t="n">
        <v>0</v>
      </c>
      <c r="J31" s="29">
        <f>MAX(ABS(G31-G30),ABS(H31-H30))</f>
        <v/>
      </c>
      <c r="K31" s="29">
        <f>MAX(ABS(B31-G31),ABS(C31-H31))</f>
        <v/>
      </c>
    </row>
    <row r="32">
      <c r="A32" s="9" t="n">
        <v>23</v>
      </c>
      <c r="B32" s="29">
        <f>0.5*(1+0.9*B31)+0.5*(1+0.9*C31)</f>
        <v/>
      </c>
      <c r="C32" s="29">
        <f>0.5*(1+0.9*B31)+0.5*(1+0.9*C31)</f>
        <v/>
      </c>
      <c r="D32" s="9" t="n">
        <v>0</v>
      </c>
      <c r="E32" s="29">
        <f>MAX(ABS(B32-B31),ABS(C32-C31))</f>
        <v/>
      </c>
      <c r="F32" s="9" t="inlineStr"/>
      <c r="G32" s="29">
        <f>0.5*(1+0.9*G31)+0.5*(1+0.9*H31)</f>
        <v/>
      </c>
      <c r="H32" s="29">
        <f>0.5*(1+0.9*G32)+0.5*(1+0.9*H31)</f>
        <v/>
      </c>
      <c r="I32" s="9" t="n">
        <v>0</v>
      </c>
      <c r="J32" s="29">
        <f>MAX(ABS(G32-G31),ABS(H32-H31))</f>
        <v/>
      </c>
      <c r="K32" s="29">
        <f>MAX(ABS(B32-G32),ABS(C32-H32))</f>
        <v/>
      </c>
    </row>
    <row r="33">
      <c r="A33" s="9" t="n">
        <v>24</v>
      </c>
      <c r="B33" s="29">
        <f>0.5*(1+0.9*B32)+0.5*(1+0.9*C32)</f>
        <v/>
      </c>
      <c r="C33" s="29">
        <f>0.5*(1+0.9*B32)+0.5*(1+0.9*C32)</f>
        <v/>
      </c>
      <c r="D33" s="9" t="n">
        <v>0</v>
      </c>
      <c r="E33" s="29">
        <f>MAX(ABS(B33-B32),ABS(C33-C32))</f>
        <v/>
      </c>
      <c r="F33" s="9" t="inlineStr"/>
      <c r="G33" s="29">
        <f>0.5*(1+0.9*G32)+0.5*(1+0.9*H32)</f>
        <v/>
      </c>
      <c r="H33" s="29">
        <f>0.5*(1+0.9*G33)+0.5*(1+0.9*H32)</f>
        <v/>
      </c>
      <c r="I33" s="9" t="n">
        <v>0</v>
      </c>
      <c r="J33" s="29">
        <f>MAX(ABS(G33-G32),ABS(H33-H32))</f>
        <v/>
      </c>
      <c r="K33" s="29">
        <f>MAX(ABS(B33-G33),ABS(C33-H33))</f>
        <v/>
      </c>
    </row>
    <row r="34">
      <c r="A34" s="9" t="n">
        <v>25</v>
      </c>
      <c r="B34" s="29">
        <f>0.5*(1+0.9*B33)+0.5*(1+0.9*C33)</f>
        <v/>
      </c>
      <c r="C34" s="29">
        <f>0.5*(1+0.9*B33)+0.5*(1+0.9*C33)</f>
        <v/>
      </c>
      <c r="D34" s="9" t="n">
        <v>0</v>
      </c>
      <c r="E34" s="29">
        <f>MAX(ABS(B34-B33),ABS(C34-C33))</f>
        <v/>
      </c>
      <c r="F34" s="9" t="inlineStr"/>
      <c r="G34" s="29">
        <f>0.5*(1+0.9*G33)+0.5*(1+0.9*H33)</f>
        <v/>
      </c>
      <c r="H34" s="29">
        <f>0.5*(1+0.9*G34)+0.5*(1+0.9*H33)</f>
        <v/>
      </c>
      <c r="I34" s="9" t="n">
        <v>0</v>
      </c>
      <c r="J34" s="29">
        <f>MAX(ABS(G34-G33),ABS(H34-H33))</f>
        <v/>
      </c>
      <c r="K34" s="29">
        <f>MAX(ABS(B34-G34),ABS(C34-H34))</f>
        <v/>
      </c>
    </row>
    <row r="35">
      <c r="A35" s="9" t="n">
        <v>26</v>
      </c>
      <c r="B35" s="29">
        <f>0.5*(1+0.9*B34)+0.5*(1+0.9*C34)</f>
        <v/>
      </c>
      <c r="C35" s="29">
        <f>0.5*(1+0.9*B34)+0.5*(1+0.9*C34)</f>
        <v/>
      </c>
      <c r="D35" s="9" t="n">
        <v>0</v>
      </c>
      <c r="E35" s="29">
        <f>MAX(ABS(B35-B34),ABS(C35-C34))</f>
        <v/>
      </c>
      <c r="F35" s="9" t="inlineStr"/>
      <c r="G35" s="29">
        <f>0.5*(1+0.9*G34)+0.5*(1+0.9*H34)</f>
        <v/>
      </c>
      <c r="H35" s="29">
        <f>0.5*(1+0.9*G35)+0.5*(1+0.9*H34)</f>
        <v/>
      </c>
      <c r="I35" s="9" t="n">
        <v>0</v>
      </c>
      <c r="J35" s="29">
        <f>MAX(ABS(G35-G34),ABS(H35-H34))</f>
        <v/>
      </c>
      <c r="K35" s="29">
        <f>MAX(ABS(B35-G35),ABS(C35-H35))</f>
        <v/>
      </c>
    </row>
    <row r="36">
      <c r="A36" s="9" t="n">
        <v>27</v>
      </c>
      <c r="B36" s="29">
        <f>0.5*(1+0.9*B35)+0.5*(1+0.9*C35)</f>
        <v/>
      </c>
      <c r="C36" s="29">
        <f>0.5*(1+0.9*B35)+0.5*(1+0.9*C35)</f>
        <v/>
      </c>
      <c r="D36" s="9" t="n">
        <v>0</v>
      </c>
      <c r="E36" s="29">
        <f>MAX(ABS(B36-B35),ABS(C36-C35))</f>
        <v/>
      </c>
      <c r="F36" s="9" t="inlineStr"/>
      <c r="G36" s="29">
        <f>0.5*(1+0.9*G35)+0.5*(1+0.9*H35)</f>
        <v/>
      </c>
      <c r="H36" s="29">
        <f>0.5*(1+0.9*G36)+0.5*(1+0.9*H35)</f>
        <v/>
      </c>
      <c r="I36" s="9" t="n">
        <v>0</v>
      </c>
      <c r="J36" s="29">
        <f>MAX(ABS(G36-G35),ABS(H36-H35))</f>
        <v/>
      </c>
      <c r="K36" s="29">
        <f>MAX(ABS(B36-G36),ABS(C36-H36))</f>
        <v/>
      </c>
    </row>
    <row r="37">
      <c r="A37" s="9" t="n">
        <v>28</v>
      </c>
      <c r="B37" s="29">
        <f>0.5*(1+0.9*B36)+0.5*(1+0.9*C36)</f>
        <v/>
      </c>
      <c r="C37" s="29">
        <f>0.5*(1+0.9*B36)+0.5*(1+0.9*C36)</f>
        <v/>
      </c>
      <c r="D37" s="9" t="n">
        <v>0</v>
      </c>
      <c r="E37" s="29">
        <f>MAX(ABS(B37-B36),ABS(C37-C36))</f>
        <v/>
      </c>
      <c r="F37" s="9" t="inlineStr"/>
      <c r="G37" s="29">
        <f>0.5*(1+0.9*G36)+0.5*(1+0.9*H36)</f>
        <v/>
      </c>
      <c r="H37" s="29">
        <f>0.5*(1+0.9*G37)+0.5*(1+0.9*H36)</f>
        <v/>
      </c>
      <c r="I37" s="9" t="n">
        <v>0</v>
      </c>
      <c r="J37" s="29">
        <f>MAX(ABS(G37-G36),ABS(H37-H36))</f>
        <v/>
      </c>
      <c r="K37" s="29">
        <f>MAX(ABS(B37-G37),ABS(C37-H37))</f>
        <v/>
      </c>
    </row>
    <row r="38">
      <c r="A38" s="9" t="n">
        <v>29</v>
      </c>
      <c r="B38" s="29">
        <f>0.5*(1+0.9*B37)+0.5*(1+0.9*C37)</f>
        <v/>
      </c>
      <c r="C38" s="29">
        <f>0.5*(1+0.9*B37)+0.5*(1+0.9*C37)</f>
        <v/>
      </c>
      <c r="D38" s="9" t="n">
        <v>0</v>
      </c>
      <c r="E38" s="29">
        <f>MAX(ABS(B38-B37),ABS(C38-C37))</f>
        <v/>
      </c>
      <c r="F38" s="9" t="inlineStr"/>
      <c r="G38" s="29">
        <f>0.5*(1+0.9*G37)+0.5*(1+0.9*H37)</f>
        <v/>
      </c>
      <c r="H38" s="29">
        <f>0.5*(1+0.9*G38)+0.5*(1+0.9*H37)</f>
        <v/>
      </c>
      <c r="I38" s="9" t="n">
        <v>0</v>
      </c>
      <c r="J38" s="29">
        <f>MAX(ABS(G38-G37),ABS(H38-H37))</f>
        <v/>
      </c>
      <c r="K38" s="29">
        <f>MAX(ABS(B38-G38),ABS(C38-H38))</f>
        <v/>
      </c>
    </row>
    <row r="39">
      <c r="A39" s="9" t="n">
        <v>30</v>
      </c>
      <c r="B39" s="29">
        <f>0.5*(1+0.9*B38)+0.5*(1+0.9*C38)</f>
        <v/>
      </c>
      <c r="C39" s="29">
        <f>0.5*(1+0.9*B38)+0.5*(1+0.9*C38)</f>
        <v/>
      </c>
      <c r="D39" s="9" t="n">
        <v>0</v>
      </c>
      <c r="E39" s="29">
        <f>MAX(ABS(B39-B38),ABS(C39-C38))</f>
        <v/>
      </c>
      <c r="F39" s="9" t="inlineStr"/>
      <c r="G39" s="29">
        <f>0.5*(1+0.9*G38)+0.5*(1+0.9*H38)</f>
        <v/>
      </c>
      <c r="H39" s="29">
        <f>0.5*(1+0.9*G39)+0.5*(1+0.9*H38)</f>
        <v/>
      </c>
      <c r="I39" s="9" t="n">
        <v>0</v>
      </c>
      <c r="J39" s="29">
        <f>MAX(ABS(G39-G38),ABS(H39-H38))</f>
        <v/>
      </c>
      <c r="K39" s="29">
        <f>MAX(ABS(B39-G39),ABS(C39-H39))</f>
        <v/>
      </c>
    </row>
    <row r="40">
      <c r="A40" s="9" t="n">
        <v>31</v>
      </c>
      <c r="B40" s="29">
        <f>0.5*(1+0.9*B39)+0.5*(1+0.9*C39)</f>
        <v/>
      </c>
      <c r="C40" s="29">
        <f>0.5*(1+0.9*B39)+0.5*(1+0.9*C39)</f>
        <v/>
      </c>
      <c r="D40" s="9" t="n">
        <v>0</v>
      </c>
      <c r="E40" s="29">
        <f>MAX(ABS(B40-B39),ABS(C40-C39))</f>
        <v/>
      </c>
      <c r="F40" s="9" t="inlineStr"/>
      <c r="G40" s="29">
        <f>0.5*(1+0.9*G39)+0.5*(1+0.9*H39)</f>
        <v/>
      </c>
      <c r="H40" s="29">
        <f>0.5*(1+0.9*G40)+0.5*(1+0.9*H39)</f>
        <v/>
      </c>
      <c r="I40" s="9" t="n">
        <v>0</v>
      </c>
      <c r="J40" s="29">
        <f>MAX(ABS(G40-G39),ABS(H40-H39))</f>
        <v/>
      </c>
      <c r="K40" s="29">
        <f>MAX(ABS(B40-G40),ABS(C40-H40))</f>
        <v/>
      </c>
    </row>
    <row r="41">
      <c r="A41" s="9" t="n">
        <v>32</v>
      </c>
      <c r="B41" s="29">
        <f>0.5*(1+0.9*B40)+0.5*(1+0.9*C40)</f>
        <v/>
      </c>
      <c r="C41" s="29">
        <f>0.5*(1+0.9*B40)+0.5*(1+0.9*C40)</f>
        <v/>
      </c>
      <c r="D41" s="9" t="n">
        <v>0</v>
      </c>
      <c r="E41" s="29">
        <f>MAX(ABS(B41-B40),ABS(C41-C40))</f>
        <v/>
      </c>
      <c r="F41" s="9" t="inlineStr"/>
      <c r="G41" s="29">
        <f>0.5*(1+0.9*G40)+0.5*(1+0.9*H40)</f>
        <v/>
      </c>
      <c r="H41" s="29">
        <f>0.5*(1+0.9*G41)+0.5*(1+0.9*H40)</f>
        <v/>
      </c>
      <c r="I41" s="9" t="n">
        <v>0</v>
      </c>
      <c r="J41" s="29">
        <f>MAX(ABS(G41-G40),ABS(H41-H40))</f>
        <v/>
      </c>
      <c r="K41" s="29">
        <f>MAX(ABS(B41-G41),ABS(C41-H41))</f>
        <v/>
      </c>
    </row>
    <row r="42">
      <c r="A42" s="9" t="n">
        <v>33</v>
      </c>
      <c r="B42" s="29">
        <f>0.5*(1+0.9*B41)+0.5*(1+0.9*C41)</f>
        <v/>
      </c>
      <c r="C42" s="29">
        <f>0.5*(1+0.9*B41)+0.5*(1+0.9*C41)</f>
        <v/>
      </c>
      <c r="D42" s="9" t="n">
        <v>0</v>
      </c>
      <c r="E42" s="29">
        <f>MAX(ABS(B42-B41),ABS(C42-C41))</f>
        <v/>
      </c>
      <c r="F42" s="9" t="inlineStr"/>
      <c r="G42" s="29">
        <f>0.5*(1+0.9*G41)+0.5*(1+0.9*H41)</f>
        <v/>
      </c>
      <c r="H42" s="29">
        <f>0.5*(1+0.9*G42)+0.5*(1+0.9*H41)</f>
        <v/>
      </c>
      <c r="I42" s="9" t="n">
        <v>0</v>
      </c>
      <c r="J42" s="29">
        <f>MAX(ABS(G42-G41),ABS(H42-H41))</f>
        <v/>
      </c>
      <c r="K42" s="29">
        <f>MAX(ABS(B42-G42),ABS(C42-H42))</f>
        <v/>
      </c>
    </row>
    <row r="43">
      <c r="A43" s="9" t="n">
        <v>34</v>
      </c>
      <c r="B43" s="29">
        <f>0.5*(1+0.9*B42)+0.5*(1+0.9*C42)</f>
        <v/>
      </c>
      <c r="C43" s="29">
        <f>0.5*(1+0.9*B42)+0.5*(1+0.9*C42)</f>
        <v/>
      </c>
      <c r="D43" s="9" t="n">
        <v>0</v>
      </c>
      <c r="E43" s="29">
        <f>MAX(ABS(B43-B42),ABS(C43-C42))</f>
        <v/>
      </c>
      <c r="F43" s="9" t="inlineStr"/>
      <c r="G43" s="29">
        <f>0.5*(1+0.9*G42)+0.5*(1+0.9*H42)</f>
        <v/>
      </c>
      <c r="H43" s="29">
        <f>0.5*(1+0.9*G43)+0.5*(1+0.9*H42)</f>
        <v/>
      </c>
      <c r="I43" s="9" t="n">
        <v>0</v>
      </c>
      <c r="J43" s="29">
        <f>MAX(ABS(G43-G42),ABS(H43-H42))</f>
        <v/>
      </c>
      <c r="K43" s="29">
        <f>MAX(ABS(B43-G43),ABS(C43-H43))</f>
        <v/>
      </c>
    </row>
    <row r="44">
      <c r="A44" s="9" t="n">
        <v>35</v>
      </c>
      <c r="B44" s="29">
        <f>0.5*(1+0.9*B43)+0.5*(1+0.9*C43)</f>
        <v/>
      </c>
      <c r="C44" s="29">
        <f>0.5*(1+0.9*B43)+0.5*(1+0.9*C43)</f>
        <v/>
      </c>
      <c r="D44" s="9" t="n">
        <v>0</v>
      </c>
      <c r="E44" s="29">
        <f>MAX(ABS(B44-B43),ABS(C44-C43))</f>
        <v/>
      </c>
      <c r="F44" s="9" t="inlineStr"/>
      <c r="G44" s="29">
        <f>0.5*(1+0.9*G43)+0.5*(1+0.9*H43)</f>
        <v/>
      </c>
      <c r="H44" s="29">
        <f>0.5*(1+0.9*G44)+0.5*(1+0.9*H43)</f>
        <v/>
      </c>
      <c r="I44" s="9" t="n">
        <v>0</v>
      </c>
      <c r="J44" s="29">
        <f>MAX(ABS(G44-G43),ABS(H44-H43))</f>
        <v/>
      </c>
      <c r="K44" s="29">
        <f>MAX(ABS(B44-G44),ABS(C44-H44))</f>
        <v/>
      </c>
    </row>
    <row r="45">
      <c r="A45" s="9" t="n">
        <v>36</v>
      </c>
      <c r="B45" s="29">
        <f>0.5*(1+0.9*B44)+0.5*(1+0.9*C44)</f>
        <v/>
      </c>
      <c r="C45" s="29">
        <f>0.5*(1+0.9*B44)+0.5*(1+0.9*C44)</f>
        <v/>
      </c>
      <c r="D45" s="9" t="n">
        <v>0</v>
      </c>
      <c r="E45" s="29">
        <f>MAX(ABS(B45-B44),ABS(C45-C44))</f>
        <v/>
      </c>
      <c r="F45" s="9" t="inlineStr"/>
      <c r="G45" s="29">
        <f>0.5*(1+0.9*G44)+0.5*(1+0.9*H44)</f>
        <v/>
      </c>
      <c r="H45" s="29">
        <f>0.5*(1+0.9*G45)+0.5*(1+0.9*H44)</f>
        <v/>
      </c>
      <c r="I45" s="9" t="n">
        <v>0</v>
      </c>
      <c r="J45" s="29">
        <f>MAX(ABS(G45-G44),ABS(H45-H44))</f>
        <v/>
      </c>
      <c r="K45" s="29">
        <f>MAX(ABS(B45-G45),ABS(C45-H45))</f>
        <v/>
      </c>
    </row>
    <row r="46">
      <c r="A46" s="9" t="n">
        <v>37</v>
      </c>
      <c r="B46" s="29">
        <f>0.5*(1+0.9*B45)+0.5*(1+0.9*C45)</f>
        <v/>
      </c>
      <c r="C46" s="29">
        <f>0.5*(1+0.9*B45)+0.5*(1+0.9*C45)</f>
        <v/>
      </c>
      <c r="D46" s="9" t="n">
        <v>0</v>
      </c>
      <c r="E46" s="29">
        <f>MAX(ABS(B46-B45),ABS(C46-C45))</f>
        <v/>
      </c>
      <c r="F46" s="9" t="inlineStr"/>
      <c r="G46" s="29">
        <f>0.5*(1+0.9*G45)+0.5*(1+0.9*H45)</f>
        <v/>
      </c>
      <c r="H46" s="29">
        <f>0.5*(1+0.9*G46)+0.5*(1+0.9*H45)</f>
        <v/>
      </c>
      <c r="I46" s="9" t="n">
        <v>0</v>
      </c>
      <c r="J46" s="29">
        <f>MAX(ABS(G46-G45),ABS(H46-H45))</f>
        <v/>
      </c>
      <c r="K46" s="29">
        <f>MAX(ABS(B46-G46),ABS(C46-H46))</f>
        <v/>
      </c>
    </row>
    <row r="47">
      <c r="A47" s="9" t="n">
        <v>38</v>
      </c>
      <c r="B47" s="29">
        <f>0.5*(1+0.9*B46)+0.5*(1+0.9*C46)</f>
        <v/>
      </c>
      <c r="C47" s="29">
        <f>0.5*(1+0.9*B46)+0.5*(1+0.9*C46)</f>
        <v/>
      </c>
      <c r="D47" s="9" t="n">
        <v>0</v>
      </c>
      <c r="E47" s="29">
        <f>MAX(ABS(B47-B46),ABS(C47-C46))</f>
        <v/>
      </c>
      <c r="F47" s="9" t="inlineStr"/>
      <c r="G47" s="29">
        <f>0.5*(1+0.9*G46)+0.5*(1+0.9*H46)</f>
        <v/>
      </c>
      <c r="H47" s="29">
        <f>0.5*(1+0.9*G47)+0.5*(1+0.9*H46)</f>
        <v/>
      </c>
      <c r="I47" s="9" t="n">
        <v>0</v>
      </c>
      <c r="J47" s="29">
        <f>MAX(ABS(G47-G46),ABS(H47-H46))</f>
        <v/>
      </c>
      <c r="K47" s="29">
        <f>MAX(ABS(B47-G47),ABS(C47-H47))</f>
        <v/>
      </c>
    </row>
    <row r="48">
      <c r="A48" s="9" t="n">
        <v>39</v>
      </c>
      <c r="B48" s="29">
        <f>0.5*(1+0.9*B47)+0.5*(1+0.9*C47)</f>
        <v/>
      </c>
      <c r="C48" s="29">
        <f>0.5*(1+0.9*B47)+0.5*(1+0.9*C47)</f>
        <v/>
      </c>
      <c r="D48" s="9" t="n">
        <v>0</v>
      </c>
      <c r="E48" s="29">
        <f>MAX(ABS(B48-B47),ABS(C48-C47))</f>
        <v/>
      </c>
      <c r="F48" s="9" t="inlineStr"/>
      <c r="G48" s="29">
        <f>0.5*(1+0.9*G47)+0.5*(1+0.9*H47)</f>
        <v/>
      </c>
      <c r="H48" s="29">
        <f>0.5*(1+0.9*G48)+0.5*(1+0.9*H47)</f>
        <v/>
      </c>
      <c r="I48" s="9" t="n">
        <v>0</v>
      </c>
      <c r="J48" s="29">
        <f>MAX(ABS(G48-G47),ABS(H48-H47))</f>
        <v/>
      </c>
      <c r="K48" s="29">
        <f>MAX(ABS(B48-G48),ABS(C48-H48))</f>
        <v/>
      </c>
    </row>
    <row r="49">
      <c r="A49" s="9" t="n">
        <v>40</v>
      </c>
      <c r="B49" s="29">
        <f>0.5*(1+0.9*B48)+0.5*(1+0.9*C48)</f>
        <v/>
      </c>
      <c r="C49" s="29">
        <f>0.5*(1+0.9*B48)+0.5*(1+0.9*C48)</f>
        <v/>
      </c>
      <c r="D49" s="9" t="n">
        <v>0</v>
      </c>
      <c r="E49" s="29">
        <f>MAX(ABS(B49-B48),ABS(C49-C48))</f>
        <v/>
      </c>
      <c r="F49" s="9" t="inlineStr"/>
      <c r="G49" s="29">
        <f>0.5*(1+0.9*G48)+0.5*(1+0.9*H48)</f>
        <v/>
      </c>
      <c r="H49" s="29">
        <f>0.5*(1+0.9*G49)+0.5*(1+0.9*H48)</f>
        <v/>
      </c>
      <c r="I49" s="9" t="n">
        <v>0</v>
      </c>
      <c r="J49" s="29">
        <f>MAX(ABS(G49-G48),ABS(H49-H48))</f>
        <v/>
      </c>
      <c r="K49" s="29">
        <f>MAX(ABS(B49-G49),ABS(C49-H49))</f>
        <v/>
      </c>
    </row>
    <row r="50">
      <c r="A50" s="9" t="n">
        <v>41</v>
      </c>
      <c r="B50" s="29">
        <f>0.5*(1+0.9*B49)+0.5*(1+0.9*C49)</f>
        <v/>
      </c>
      <c r="C50" s="29">
        <f>0.5*(1+0.9*B49)+0.5*(1+0.9*C49)</f>
        <v/>
      </c>
      <c r="D50" s="9" t="n">
        <v>0</v>
      </c>
      <c r="E50" s="29">
        <f>MAX(ABS(B50-B49),ABS(C50-C49))</f>
        <v/>
      </c>
      <c r="F50" s="9" t="inlineStr"/>
      <c r="G50" s="29">
        <f>0.5*(1+0.9*G49)+0.5*(1+0.9*H49)</f>
        <v/>
      </c>
      <c r="H50" s="29">
        <f>0.5*(1+0.9*G50)+0.5*(1+0.9*H49)</f>
        <v/>
      </c>
      <c r="I50" s="9" t="n">
        <v>0</v>
      </c>
      <c r="J50" s="29">
        <f>MAX(ABS(G50-G49),ABS(H50-H49))</f>
        <v/>
      </c>
      <c r="K50" s="29">
        <f>MAX(ABS(B50-G50),ABS(C50-H50))</f>
        <v/>
      </c>
    </row>
    <row r="51">
      <c r="A51" s="9" t="n">
        <v>42</v>
      </c>
      <c r="B51" s="29">
        <f>0.5*(1+0.9*B50)+0.5*(1+0.9*C50)</f>
        <v/>
      </c>
      <c r="C51" s="29">
        <f>0.5*(1+0.9*B50)+0.5*(1+0.9*C50)</f>
        <v/>
      </c>
      <c r="D51" s="9" t="n">
        <v>0</v>
      </c>
      <c r="E51" s="29">
        <f>MAX(ABS(B51-B50),ABS(C51-C50))</f>
        <v/>
      </c>
      <c r="F51" s="9" t="inlineStr"/>
      <c r="G51" s="29">
        <f>0.5*(1+0.9*G50)+0.5*(1+0.9*H50)</f>
        <v/>
      </c>
      <c r="H51" s="29">
        <f>0.5*(1+0.9*G51)+0.5*(1+0.9*H50)</f>
        <v/>
      </c>
      <c r="I51" s="9" t="n">
        <v>0</v>
      </c>
      <c r="J51" s="29">
        <f>MAX(ABS(G51-G50),ABS(H51-H50))</f>
        <v/>
      </c>
      <c r="K51" s="29">
        <f>MAX(ABS(B51-G51),ABS(C51-H51))</f>
        <v/>
      </c>
    </row>
    <row r="52">
      <c r="A52" s="9" t="n">
        <v>43</v>
      </c>
      <c r="B52" s="29">
        <f>0.5*(1+0.9*B51)+0.5*(1+0.9*C51)</f>
        <v/>
      </c>
      <c r="C52" s="29">
        <f>0.5*(1+0.9*B51)+0.5*(1+0.9*C51)</f>
        <v/>
      </c>
      <c r="D52" s="9" t="n">
        <v>0</v>
      </c>
      <c r="E52" s="29">
        <f>MAX(ABS(B52-B51),ABS(C52-C51))</f>
        <v/>
      </c>
      <c r="F52" s="9" t="inlineStr"/>
      <c r="G52" s="29">
        <f>0.5*(1+0.9*G51)+0.5*(1+0.9*H51)</f>
        <v/>
      </c>
      <c r="H52" s="29">
        <f>0.5*(1+0.9*G52)+0.5*(1+0.9*H51)</f>
        <v/>
      </c>
      <c r="I52" s="9" t="n">
        <v>0</v>
      </c>
      <c r="J52" s="29">
        <f>MAX(ABS(G52-G51),ABS(H52-H51))</f>
        <v/>
      </c>
      <c r="K52" s="29">
        <f>MAX(ABS(B52-G52),ABS(C52-H52))</f>
        <v/>
      </c>
    </row>
    <row r="53">
      <c r="A53" s="9" t="n">
        <v>44</v>
      </c>
      <c r="B53" s="29">
        <f>0.5*(1+0.9*B52)+0.5*(1+0.9*C52)</f>
        <v/>
      </c>
      <c r="C53" s="29">
        <f>0.5*(1+0.9*B52)+0.5*(1+0.9*C52)</f>
        <v/>
      </c>
      <c r="D53" s="9" t="n">
        <v>0</v>
      </c>
      <c r="E53" s="29">
        <f>MAX(ABS(B53-B52),ABS(C53-C52))</f>
        <v/>
      </c>
      <c r="F53" s="9" t="inlineStr"/>
      <c r="G53" s="29">
        <f>0.5*(1+0.9*G52)+0.5*(1+0.9*H52)</f>
        <v/>
      </c>
      <c r="H53" s="29">
        <f>0.5*(1+0.9*G53)+0.5*(1+0.9*H52)</f>
        <v/>
      </c>
      <c r="I53" s="9" t="n">
        <v>0</v>
      </c>
      <c r="J53" s="29">
        <f>MAX(ABS(G53-G52),ABS(H53-H52))</f>
        <v/>
      </c>
      <c r="K53" s="29">
        <f>MAX(ABS(B53-G53),ABS(C53-H53))</f>
        <v/>
      </c>
    </row>
    <row r="54">
      <c r="A54" s="9" t="n">
        <v>45</v>
      </c>
      <c r="B54" s="29">
        <f>0.5*(1+0.9*B53)+0.5*(1+0.9*C53)</f>
        <v/>
      </c>
      <c r="C54" s="29">
        <f>0.5*(1+0.9*B53)+0.5*(1+0.9*C53)</f>
        <v/>
      </c>
      <c r="D54" s="9" t="n">
        <v>0</v>
      </c>
      <c r="E54" s="29">
        <f>MAX(ABS(B54-B53),ABS(C54-C53))</f>
        <v/>
      </c>
      <c r="F54" s="9" t="inlineStr"/>
      <c r="G54" s="29">
        <f>0.5*(1+0.9*G53)+0.5*(1+0.9*H53)</f>
        <v/>
      </c>
      <c r="H54" s="29">
        <f>0.5*(1+0.9*G54)+0.5*(1+0.9*H53)</f>
        <v/>
      </c>
      <c r="I54" s="9" t="n">
        <v>0</v>
      </c>
      <c r="J54" s="29">
        <f>MAX(ABS(G54-G53),ABS(H54-H53))</f>
        <v/>
      </c>
      <c r="K54" s="29">
        <f>MAX(ABS(B54-G54),ABS(C54-H54))</f>
        <v/>
      </c>
    </row>
    <row r="55">
      <c r="A55" s="9" t="n">
        <v>46</v>
      </c>
      <c r="B55" s="29">
        <f>0.5*(1+0.9*B54)+0.5*(1+0.9*C54)</f>
        <v/>
      </c>
      <c r="C55" s="29">
        <f>0.5*(1+0.9*B54)+0.5*(1+0.9*C54)</f>
        <v/>
      </c>
      <c r="D55" s="9" t="n">
        <v>0</v>
      </c>
      <c r="E55" s="29">
        <f>MAX(ABS(B55-B54),ABS(C55-C54))</f>
        <v/>
      </c>
      <c r="F55" s="9" t="inlineStr"/>
      <c r="G55" s="29">
        <f>0.5*(1+0.9*G54)+0.5*(1+0.9*H54)</f>
        <v/>
      </c>
      <c r="H55" s="29">
        <f>0.5*(1+0.9*G55)+0.5*(1+0.9*H54)</f>
        <v/>
      </c>
      <c r="I55" s="9" t="n">
        <v>0</v>
      </c>
      <c r="J55" s="29">
        <f>MAX(ABS(G55-G54),ABS(H55-H54))</f>
        <v/>
      </c>
      <c r="K55" s="29">
        <f>MAX(ABS(B55-G55),ABS(C55-H55))</f>
        <v/>
      </c>
    </row>
    <row r="56">
      <c r="A56" s="9" t="n">
        <v>47</v>
      </c>
      <c r="B56" s="29">
        <f>0.5*(1+0.9*B55)+0.5*(1+0.9*C55)</f>
        <v/>
      </c>
      <c r="C56" s="29">
        <f>0.5*(1+0.9*B55)+0.5*(1+0.9*C55)</f>
        <v/>
      </c>
      <c r="D56" s="9" t="n">
        <v>0</v>
      </c>
      <c r="E56" s="29">
        <f>MAX(ABS(B56-B55),ABS(C56-C55))</f>
        <v/>
      </c>
      <c r="F56" s="9" t="inlineStr"/>
      <c r="G56" s="29">
        <f>0.5*(1+0.9*G55)+0.5*(1+0.9*H55)</f>
        <v/>
      </c>
      <c r="H56" s="29">
        <f>0.5*(1+0.9*G56)+0.5*(1+0.9*H55)</f>
        <v/>
      </c>
      <c r="I56" s="9" t="n">
        <v>0</v>
      </c>
      <c r="J56" s="29">
        <f>MAX(ABS(G56-G55),ABS(H56-H55))</f>
        <v/>
      </c>
      <c r="K56" s="29">
        <f>MAX(ABS(B56-G56),ABS(C56-H56))</f>
        <v/>
      </c>
    </row>
    <row r="57">
      <c r="A57" s="9" t="n">
        <v>48</v>
      </c>
      <c r="B57" s="29">
        <f>0.5*(1+0.9*B56)+0.5*(1+0.9*C56)</f>
        <v/>
      </c>
      <c r="C57" s="29">
        <f>0.5*(1+0.9*B56)+0.5*(1+0.9*C56)</f>
        <v/>
      </c>
      <c r="D57" s="9" t="n">
        <v>0</v>
      </c>
      <c r="E57" s="29">
        <f>MAX(ABS(B57-B56),ABS(C57-C56))</f>
        <v/>
      </c>
      <c r="F57" s="9" t="inlineStr"/>
      <c r="G57" s="29">
        <f>0.5*(1+0.9*G56)+0.5*(1+0.9*H56)</f>
        <v/>
      </c>
      <c r="H57" s="29">
        <f>0.5*(1+0.9*G57)+0.5*(1+0.9*H56)</f>
        <v/>
      </c>
      <c r="I57" s="9" t="n">
        <v>0</v>
      </c>
      <c r="J57" s="29">
        <f>MAX(ABS(G57-G56),ABS(H57-H56))</f>
        <v/>
      </c>
      <c r="K57" s="29">
        <f>MAX(ABS(B57-G57),ABS(C57-H57))</f>
        <v/>
      </c>
    </row>
    <row r="58">
      <c r="A58" s="9" t="n">
        <v>49</v>
      </c>
      <c r="B58" s="29">
        <f>0.5*(1+0.9*B57)+0.5*(1+0.9*C57)</f>
        <v/>
      </c>
      <c r="C58" s="29">
        <f>0.5*(1+0.9*B57)+0.5*(1+0.9*C57)</f>
        <v/>
      </c>
      <c r="D58" s="9" t="n">
        <v>0</v>
      </c>
      <c r="E58" s="29">
        <f>MAX(ABS(B58-B57),ABS(C58-C57))</f>
        <v/>
      </c>
      <c r="F58" s="9" t="inlineStr"/>
      <c r="G58" s="29">
        <f>0.5*(1+0.9*G57)+0.5*(1+0.9*H57)</f>
        <v/>
      </c>
      <c r="H58" s="29">
        <f>0.5*(1+0.9*G58)+0.5*(1+0.9*H57)</f>
        <v/>
      </c>
      <c r="I58" s="9" t="n">
        <v>0</v>
      </c>
      <c r="J58" s="29">
        <f>MAX(ABS(G58-G57),ABS(H58-H57))</f>
        <v/>
      </c>
      <c r="K58" s="29">
        <f>MAX(ABS(B58-G58),ABS(C58-H58))</f>
        <v/>
      </c>
    </row>
    <row r="59">
      <c r="A59" s="9" t="n">
        <v>50</v>
      </c>
      <c r="B59" s="29">
        <f>0.5*(1+0.9*B58)+0.5*(1+0.9*C58)</f>
        <v/>
      </c>
      <c r="C59" s="29">
        <f>0.5*(1+0.9*B58)+0.5*(1+0.9*C58)</f>
        <v/>
      </c>
      <c r="D59" s="9" t="n">
        <v>0</v>
      </c>
      <c r="E59" s="29">
        <f>MAX(ABS(B59-B58),ABS(C59-C58))</f>
        <v/>
      </c>
      <c r="F59" s="9" t="inlineStr"/>
      <c r="G59" s="29">
        <f>0.5*(1+0.9*G58)+0.5*(1+0.9*H58)</f>
        <v/>
      </c>
      <c r="H59" s="29">
        <f>0.5*(1+0.9*G59)+0.5*(1+0.9*H58)</f>
        <v/>
      </c>
      <c r="I59" s="9" t="n">
        <v>0</v>
      </c>
      <c r="J59" s="29">
        <f>MAX(ABS(G59-G58),ABS(H59-H58))</f>
        <v/>
      </c>
      <c r="K59" s="29">
        <f>MAX(ABS(B59-G59),ABS(C59-H59))</f>
        <v/>
      </c>
    </row>
    <row r="60"/>
    <row r="61"/>
    <row r="62">
      <c r="A62" s="31" t="inlineStr">
        <is>
          <t>Policy 2: Optimal (Fast@Cool, Slow@Warm)</t>
        </is>
      </c>
    </row>
    <row r="63">
      <c r="A63" s="4" t="inlineStr">
        <is>
          <t>SYNCHRONOUS: V_{k+1}(C) = 0.5·(2+γ·V_k(C))+0.5·(2+γ·V_k(W)).  V_{k+1}(W) = 0.5·(1+γ·V_k(C))+0.5·(1+γ·V_k(W)).  Both from sweep k.</t>
        </is>
      </c>
    </row>
    <row r="64">
      <c r="A64" s="4" t="inlineStr">
        <is>
          <t>IN-PLACE: V(C) ← fast formula with V_old.  Then V(W) ← slow formula using V_NEW(C) + V_old(W).  Warm sees Cool's updated value!</t>
        </is>
      </c>
    </row>
    <row r="65">
      <c r="A65" s="6" t="inlineStr">
        <is>
          <t>k</t>
        </is>
      </c>
      <c r="B65" s="6" t="inlineStr">
        <is>
          <t>V_k(C) sync ✱</t>
        </is>
      </c>
      <c r="C65" s="6" t="inlineStr">
        <is>
          <t>V_k(W) sync ✱</t>
        </is>
      </c>
      <c r="D65" s="6" t="inlineStr">
        <is>
          <t>V_k(OH)</t>
        </is>
      </c>
      <c r="E65" s="6" t="inlineStr">
        <is>
          <t>|ΔV| sync ✱</t>
        </is>
      </c>
      <c r="F65" s="30" t="inlineStr"/>
      <c r="G65" s="6" t="inlineStr">
        <is>
          <t>V_k(C) inplace ✱</t>
        </is>
      </c>
      <c r="H65" s="6" t="inlineStr">
        <is>
          <t>V_k(W) inplace ✱</t>
        </is>
      </c>
      <c r="I65" s="6" t="inlineStr">
        <is>
          <t>V_k(OH)</t>
        </is>
      </c>
      <c r="J65" s="6" t="inlineStr">
        <is>
          <t>|ΔV| inplace ✱</t>
        </is>
      </c>
      <c r="K65" s="6" t="inlineStr">
        <is>
          <t>Diff ✱</t>
        </is>
      </c>
    </row>
    <row r="66">
      <c r="A66" s="9" t="n">
        <v>0</v>
      </c>
      <c r="B66" s="9" t="n">
        <v>0</v>
      </c>
      <c r="C66" s="9" t="n">
        <v>0</v>
      </c>
      <c r="D66" s="9" t="n">
        <v>0</v>
      </c>
      <c r="E66" s="9" t="inlineStr">
        <is>
          <t>—</t>
        </is>
      </c>
      <c r="F66" s="9" t="inlineStr"/>
      <c r="G66" s="9" t="n">
        <v>0</v>
      </c>
      <c r="H66" s="9" t="n">
        <v>0</v>
      </c>
      <c r="I66" s="9" t="n">
        <v>0</v>
      </c>
      <c r="J66" s="9" t="inlineStr">
        <is>
          <t>—</t>
        </is>
      </c>
      <c r="K66" s="9" t="inlineStr">
        <is>
          <t>—</t>
        </is>
      </c>
    </row>
    <row r="67">
      <c r="A67" s="9" t="n">
        <v>1</v>
      </c>
      <c r="B67" s="29">
        <f>0.5*(2+0.9*B66)+0.5*(2+0.9*C66)</f>
        <v/>
      </c>
      <c r="C67" s="29">
        <f>0.5*(1+0.9*B66)+0.5*(1+0.9*C66)</f>
        <v/>
      </c>
      <c r="D67" s="9" t="n">
        <v>0</v>
      </c>
      <c r="E67" s="29">
        <f>MAX(ABS(B67-B66),ABS(C67-C66))</f>
        <v/>
      </c>
      <c r="F67" s="9" t="inlineStr"/>
      <c r="G67" s="29">
        <f>0.5*(2+0.9*G66)+0.5*(2+0.9*H66)</f>
        <v/>
      </c>
      <c r="H67" s="29">
        <f>0.5*(1+0.9*G67)+0.5*(1+0.9*H66)</f>
        <v/>
      </c>
      <c r="I67" s="9" t="n">
        <v>0</v>
      </c>
      <c r="J67" s="29">
        <f>MAX(ABS(G67-G66),ABS(H67-H66))</f>
        <v/>
      </c>
      <c r="K67" s="29">
        <f>MAX(ABS(B67-G67),ABS(C67-H67))</f>
        <v/>
      </c>
    </row>
    <row r="68">
      <c r="A68" s="9" t="n">
        <v>2</v>
      </c>
      <c r="B68" s="29">
        <f>0.5*(2+0.9*B67)+0.5*(2+0.9*C67)</f>
        <v/>
      </c>
      <c r="C68" s="29">
        <f>0.5*(1+0.9*B67)+0.5*(1+0.9*C67)</f>
        <v/>
      </c>
      <c r="D68" s="9" t="n">
        <v>0</v>
      </c>
      <c r="E68" s="29">
        <f>MAX(ABS(B68-B67),ABS(C68-C67))</f>
        <v/>
      </c>
      <c r="F68" s="9" t="inlineStr"/>
      <c r="G68" s="29">
        <f>0.5*(2+0.9*G67)+0.5*(2+0.9*H67)</f>
        <v/>
      </c>
      <c r="H68" s="29">
        <f>0.5*(1+0.9*G68)+0.5*(1+0.9*H67)</f>
        <v/>
      </c>
      <c r="I68" s="9" t="n">
        <v>0</v>
      </c>
      <c r="J68" s="29">
        <f>MAX(ABS(G68-G67),ABS(H68-H67))</f>
        <v/>
      </c>
      <c r="K68" s="29">
        <f>MAX(ABS(B68-G68),ABS(C68-H68))</f>
        <v/>
      </c>
    </row>
    <row r="69">
      <c r="A69" s="9" t="n">
        <v>3</v>
      </c>
      <c r="B69" s="29">
        <f>0.5*(2+0.9*B68)+0.5*(2+0.9*C68)</f>
        <v/>
      </c>
      <c r="C69" s="29">
        <f>0.5*(1+0.9*B68)+0.5*(1+0.9*C68)</f>
        <v/>
      </c>
      <c r="D69" s="9" t="n">
        <v>0</v>
      </c>
      <c r="E69" s="29">
        <f>MAX(ABS(B69-B68),ABS(C69-C68))</f>
        <v/>
      </c>
      <c r="F69" s="9" t="inlineStr"/>
      <c r="G69" s="29">
        <f>0.5*(2+0.9*G68)+0.5*(2+0.9*H68)</f>
        <v/>
      </c>
      <c r="H69" s="29">
        <f>0.5*(1+0.9*G69)+0.5*(1+0.9*H68)</f>
        <v/>
      </c>
      <c r="I69" s="9" t="n">
        <v>0</v>
      </c>
      <c r="J69" s="29">
        <f>MAX(ABS(G69-G68),ABS(H69-H68))</f>
        <v/>
      </c>
      <c r="K69" s="29">
        <f>MAX(ABS(B69-G69),ABS(C69-H69))</f>
        <v/>
      </c>
    </row>
    <row r="70">
      <c r="A70" s="9" t="n">
        <v>4</v>
      </c>
      <c r="B70" s="29">
        <f>0.5*(2+0.9*B69)+0.5*(2+0.9*C69)</f>
        <v/>
      </c>
      <c r="C70" s="29">
        <f>0.5*(1+0.9*B69)+0.5*(1+0.9*C69)</f>
        <v/>
      </c>
      <c r="D70" s="9" t="n">
        <v>0</v>
      </c>
      <c r="E70" s="29">
        <f>MAX(ABS(B70-B69),ABS(C70-C69))</f>
        <v/>
      </c>
      <c r="F70" s="9" t="inlineStr"/>
      <c r="G70" s="29">
        <f>0.5*(2+0.9*G69)+0.5*(2+0.9*H69)</f>
        <v/>
      </c>
      <c r="H70" s="29">
        <f>0.5*(1+0.9*G70)+0.5*(1+0.9*H69)</f>
        <v/>
      </c>
      <c r="I70" s="9" t="n">
        <v>0</v>
      </c>
      <c r="J70" s="29">
        <f>MAX(ABS(G70-G69),ABS(H70-H69))</f>
        <v/>
      </c>
      <c r="K70" s="29">
        <f>MAX(ABS(B70-G70),ABS(C70-H70))</f>
        <v/>
      </c>
    </row>
    <row r="71">
      <c r="A71" s="9" t="n">
        <v>5</v>
      </c>
      <c r="B71" s="29">
        <f>0.5*(2+0.9*B70)+0.5*(2+0.9*C70)</f>
        <v/>
      </c>
      <c r="C71" s="29">
        <f>0.5*(1+0.9*B70)+0.5*(1+0.9*C70)</f>
        <v/>
      </c>
      <c r="D71" s="9" t="n">
        <v>0</v>
      </c>
      <c r="E71" s="29">
        <f>MAX(ABS(B71-B70),ABS(C71-C70))</f>
        <v/>
      </c>
      <c r="F71" s="9" t="inlineStr"/>
      <c r="G71" s="29">
        <f>0.5*(2+0.9*G70)+0.5*(2+0.9*H70)</f>
        <v/>
      </c>
      <c r="H71" s="29">
        <f>0.5*(1+0.9*G71)+0.5*(1+0.9*H70)</f>
        <v/>
      </c>
      <c r="I71" s="9" t="n">
        <v>0</v>
      </c>
      <c r="J71" s="29">
        <f>MAX(ABS(G71-G70),ABS(H71-H70))</f>
        <v/>
      </c>
      <c r="K71" s="29">
        <f>MAX(ABS(B71-G71),ABS(C71-H71))</f>
        <v/>
      </c>
    </row>
    <row r="72">
      <c r="A72" s="9" t="n">
        <v>6</v>
      </c>
      <c r="B72" s="29">
        <f>0.5*(2+0.9*B71)+0.5*(2+0.9*C71)</f>
        <v/>
      </c>
      <c r="C72" s="29">
        <f>0.5*(1+0.9*B71)+0.5*(1+0.9*C71)</f>
        <v/>
      </c>
      <c r="D72" s="9" t="n">
        <v>0</v>
      </c>
      <c r="E72" s="29">
        <f>MAX(ABS(B72-B71),ABS(C72-C71))</f>
        <v/>
      </c>
      <c r="F72" s="9" t="inlineStr"/>
      <c r="G72" s="29">
        <f>0.5*(2+0.9*G71)+0.5*(2+0.9*H71)</f>
        <v/>
      </c>
      <c r="H72" s="29">
        <f>0.5*(1+0.9*G72)+0.5*(1+0.9*H71)</f>
        <v/>
      </c>
      <c r="I72" s="9" t="n">
        <v>0</v>
      </c>
      <c r="J72" s="29">
        <f>MAX(ABS(G72-G71),ABS(H72-H71))</f>
        <v/>
      </c>
      <c r="K72" s="29">
        <f>MAX(ABS(B72-G72),ABS(C72-H72))</f>
        <v/>
      </c>
    </row>
    <row r="73">
      <c r="A73" s="9" t="n">
        <v>7</v>
      </c>
      <c r="B73" s="29">
        <f>0.5*(2+0.9*B72)+0.5*(2+0.9*C72)</f>
        <v/>
      </c>
      <c r="C73" s="29">
        <f>0.5*(1+0.9*B72)+0.5*(1+0.9*C72)</f>
        <v/>
      </c>
      <c r="D73" s="9" t="n">
        <v>0</v>
      </c>
      <c r="E73" s="29">
        <f>MAX(ABS(B73-B72),ABS(C73-C72))</f>
        <v/>
      </c>
      <c r="F73" s="9" t="inlineStr"/>
      <c r="G73" s="29">
        <f>0.5*(2+0.9*G72)+0.5*(2+0.9*H72)</f>
        <v/>
      </c>
      <c r="H73" s="29">
        <f>0.5*(1+0.9*G73)+0.5*(1+0.9*H72)</f>
        <v/>
      </c>
      <c r="I73" s="9" t="n">
        <v>0</v>
      </c>
      <c r="J73" s="29">
        <f>MAX(ABS(G73-G72),ABS(H73-H72))</f>
        <v/>
      </c>
      <c r="K73" s="29">
        <f>MAX(ABS(B73-G73),ABS(C73-H73))</f>
        <v/>
      </c>
    </row>
    <row r="74">
      <c r="A74" s="9" t="n">
        <v>8</v>
      </c>
      <c r="B74" s="29">
        <f>0.5*(2+0.9*B73)+0.5*(2+0.9*C73)</f>
        <v/>
      </c>
      <c r="C74" s="29">
        <f>0.5*(1+0.9*B73)+0.5*(1+0.9*C73)</f>
        <v/>
      </c>
      <c r="D74" s="9" t="n">
        <v>0</v>
      </c>
      <c r="E74" s="29">
        <f>MAX(ABS(B74-B73),ABS(C74-C73))</f>
        <v/>
      </c>
      <c r="F74" s="9" t="inlineStr"/>
      <c r="G74" s="29">
        <f>0.5*(2+0.9*G73)+0.5*(2+0.9*H73)</f>
        <v/>
      </c>
      <c r="H74" s="29">
        <f>0.5*(1+0.9*G74)+0.5*(1+0.9*H73)</f>
        <v/>
      </c>
      <c r="I74" s="9" t="n">
        <v>0</v>
      </c>
      <c r="J74" s="29">
        <f>MAX(ABS(G74-G73),ABS(H74-H73))</f>
        <v/>
      </c>
      <c r="K74" s="29">
        <f>MAX(ABS(B74-G74),ABS(C74-H74))</f>
        <v/>
      </c>
    </row>
    <row r="75">
      <c r="A75" s="9" t="n">
        <v>9</v>
      </c>
      <c r="B75" s="29">
        <f>0.5*(2+0.9*B74)+0.5*(2+0.9*C74)</f>
        <v/>
      </c>
      <c r="C75" s="29">
        <f>0.5*(1+0.9*B74)+0.5*(1+0.9*C74)</f>
        <v/>
      </c>
      <c r="D75" s="9" t="n">
        <v>0</v>
      </c>
      <c r="E75" s="29">
        <f>MAX(ABS(B75-B74),ABS(C75-C74))</f>
        <v/>
      </c>
      <c r="F75" s="9" t="inlineStr"/>
      <c r="G75" s="29">
        <f>0.5*(2+0.9*G74)+0.5*(2+0.9*H74)</f>
        <v/>
      </c>
      <c r="H75" s="29">
        <f>0.5*(1+0.9*G75)+0.5*(1+0.9*H74)</f>
        <v/>
      </c>
      <c r="I75" s="9" t="n">
        <v>0</v>
      </c>
      <c r="J75" s="29">
        <f>MAX(ABS(G75-G74),ABS(H75-H74))</f>
        <v/>
      </c>
      <c r="K75" s="29">
        <f>MAX(ABS(B75-G75),ABS(C75-H75))</f>
        <v/>
      </c>
    </row>
    <row r="76">
      <c r="A76" s="9" t="n">
        <v>10</v>
      </c>
      <c r="B76" s="29">
        <f>0.5*(2+0.9*B75)+0.5*(2+0.9*C75)</f>
        <v/>
      </c>
      <c r="C76" s="29">
        <f>0.5*(1+0.9*B75)+0.5*(1+0.9*C75)</f>
        <v/>
      </c>
      <c r="D76" s="9" t="n">
        <v>0</v>
      </c>
      <c r="E76" s="29">
        <f>MAX(ABS(B76-B75),ABS(C76-C75))</f>
        <v/>
      </c>
      <c r="F76" s="9" t="inlineStr"/>
      <c r="G76" s="29">
        <f>0.5*(2+0.9*G75)+0.5*(2+0.9*H75)</f>
        <v/>
      </c>
      <c r="H76" s="29">
        <f>0.5*(1+0.9*G76)+0.5*(1+0.9*H75)</f>
        <v/>
      </c>
      <c r="I76" s="9" t="n">
        <v>0</v>
      </c>
      <c r="J76" s="29">
        <f>MAX(ABS(G76-G75),ABS(H76-H75))</f>
        <v/>
      </c>
      <c r="K76" s="29">
        <f>MAX(ABS(B76-G76),ABS(C76-H76))</f>
        <v/>
      </c>
    </row>
    <row r="77">
      <c r="A77" s="9" t="n">
        <v>11</v>
      </c>
      <c r="B77" s="29">
        <f>0.5*(2+0.9*B76)+0.5*(2+0.9*C76)</f>
        <v/>
      </c>
      <c r="C77" s="29">
        <f>0.5*(1+0.9*B76)+0.5*(1+0.9*C76)</f>
        <v/>
      </c>
      <c r="D77" s="9" t="n">
        <v>0</v>
      </c>
      <c r="E77" s="29">
        <f>MAX(ABS(B77-B76),ABS(C77-C76))</f>
        <v/>
      </c>
      <c r="F77" s="9" t="inlineStr"/>
      <c r="G77" s="29">
        <f>0.5*(2+0.9*G76)+0.5*(2+0.9*H76)</f>
        <v/>
      </c>
      <c r="H77" s="29">
        <f>0.5*(1+0.9*G77)+0.5*(1+0.9*H76)</f>
        <v/>
      </c>
      <c r="I77" s="9" t="n">
        <v>0</v>
      </c>
      <c r="J77" s="29">
        <f>MAX(ABS(G77-G76),ABS(H77-H76))</f>
        <v/>
      </c>
      <c r="K77" s="29">
        <f>MAX(ABS(B77-G77),ABS(C77-H77))</f>
        <v/>
      </c>
    </row>
    <row r="78">
      <c r="A78" s="9" t="n">
        <v>12</v>
      </c>
      <c r="B78" s="29">
        <f>0.5*(2+0.9*B77)+0.5*(2+0.9*C77)</f>
        <v/>
      </c>
      <c r="C78" s="29">
        <f>0.5*(1+0.9*B77)+0.5*(1+0.9*C77)</f>
        <v/>
      </c>
      <c r="D78" s="9" t="n">
        <v>0</v>
      </c>
      <c r="E78" s="29">
        <f>MAX(ABS(B78-B77),ABS(C78-C77))</f>
        <v/>
      </c>
      <c r="F78" s="9" t="inlineStr"/>
      <c r="G78" s="29">
        <f>0.5*(2+0.9*G77)+0.5*(2+0.9*H77)</f>
        <v/>
      </c>
      <c r="H78" s="29">
        <f>0.5*(1+0.9*G78)+0.5*(1+0.9*H77)</f>
        <v/>
      </c>
      <c r="I78" s="9" t="n">
        <v>0</v>
      </c>
      <c r="J78" s="29">
        <f>MAX(ABS(G78-G77),ABS(H78-H77))</f>
        <v/>
      </c>
      <c r="K78" s="29">
        <f>MAX(ABS(B78-G78),ABS(C78-H78))</f>
        <v/>
      </c>
    </row>
    <row r="79">
      <c r="A79" s="9" t="n">
        <v>13</v>
      </c>
      <c r="B79" s="29">
        <f>0.5*(2+0.9*B78)+0.5*(2+0.9*C78)</f>
        <v/>
      </c>
      <c r="C79" s="29">
        <f>0.5*(1+0.9*B78)+0.5*(1+0.9*C78)</f>
        <v/>
      </c>
      <c r="D79" s="9" t="n">
        <v>0</v>
      </c>
      <c r="E79" s="29">
        <f>MAX(ABS(B79-B78),ABS(C79-C78))</f>
        <v/>
      </c>
      <c r="F79" s="9" t="inlineStr"/>
      <c r="G79" s="29">
        <f>0.5*(2+0.9*G78)+0.5*(2+0.9*H78)</f>
        <v/>
      </c>
      <c r="H79" s="29">
        <f>0.5*(1+0.9*G79)+0.5*(1+0.9*H78)</f>
        <v/>
      </c>
      <c r="I79" s="9" t="n">
        <v>0</v>
      </c>
      <c r="J79" s="29">
        <f>MAX(ABS(G79-G78),ABS(H79-H78))</f>
        <v/>
      </c>
      <c r="K79" s="29">
        <f>MAX(ABS(B79-G79),ABS(C79-H79))</f>
        <v/>
      </c>
    </row>
    <row r="80">
      <c r="A80" s="9" t="n">
        <v>14</v>
      </c>
      <c r="B80" s="29">
        <f>0.5*(2+0.9*B79)+0.5*(2+0.9*C79)</f>
        <v/>
      </c>
      <c r="C80" s="29">
        <f>0.5*(1+0.9*B79)+0.5*(1+0.9*C79)</f>
        <v/>
      </c>
      <c r="D80" s="9" t="n">
        <v>0</v>
      </c>
      <c r="E80" s="29">
        <f>MAX(ABS(B80-B79),ABS(C80-C79))</f>
        <v/>
      </c>
      <c r="F80" s="9" t="inlineStr"/>
      <c r="G80" s="29">
        <f>0.5*(2+0.9*G79)+0.5*(2+0.9*H79)</f>
        <v/>
      </c>
      <c r="H80" s="29">
        <f>0.5*(1+0.9*G80)+0.5*(1+0.9*H79)</f>
        <v/>
      </c>
      <c r="I80" s="9" t="n">
        <v>0</v>
      </c>
      <c r="J80" s="29">
        <f>MAX(ABS(G80-G79),ABS(H80-H79))</f>
        <v/>
      </c>
      <c r="K80" s="29">
        <f>MAX(ABS(B80-G80),ABS(C80-H80))</f>
        <v/>
      </c>
    </row>
    <row r="81">
      <c r="A81" s="9" t="n">
        <v>15</v>
      </c>
      <c r="B81" s="29">
        <f>0.5*(2+0.9*B80)+0.5*(2+0.9*C80)</f>
        <v/>
      </c>
      <c r="C81" s="29">
        <f>0.5*(1+0.9*B80)+0.5*(1+0.9*C80)</f>
        <v/>
      </c>
      <c r="D81" s="9" t="n">
        <v>0</v>
      </c>
      <c r="E81" s="29">
        <f>MAX(ABS(B81-B80),ABS(C81-C80))</f>
        <v/>
      </c>
      <c r="F81" s="9" t="inlineStr"/>
      <c r="G81" s="29">
        <f>0.5*(2+0.9*G80)+0.5*(2+0.9*H80)</f>
        <v/>
      </c>
      <c r="H81" s="29">
        <f>0.5*(1+0.9*G81)+0.5*(1+0.9*H80)</f>
        <v/>
      </c>
      <c r="I81" s="9" t="n">
        <v>0</v>
      </c>
      <c r="J81" s="29">
        <f>MAX(ABS(G81-G80),ABS(H81-H80))</f>
        <v/>
      </c>
      <c r="K81" s="29">
        <f>MAX(ABS(B81-G81),ABS(C81-H81))</f>
        <v/>
      </c>
    </row>
    <row r="82">
      <c r="A82" s="9" t="n">
        <v>16</v>
      </c>
      <c r="B82" s="29">
        <f>0.5*(2+0.9*B81)+0.5*(2+0.9*C81)</f>
        <v/>
      </c>
      <c r="C82" s="29">
        <f>0.5*(1+0.9*B81)+0.5*(1+0.9*C81)</f>
        <v/>
      </c>
      <c r="D82" s="9" t="n">
        <v>0</v>
      </c>
      <c r="E82" s="29">
        <f>MAX(ABS(B82-B81),ABS(C82-C81))</f>
        <v/>
      </c>
      <c r="F82" s="9" t="inlineStr"/>
      <c r="G82" s="29">
        <f>0.5*(2+0.9*G81)+0.5*(2+0.9*H81)</f>
        <v/>
      </c>
      <c r="H82" s="29">
        <f>0.5*(1+0.9*G82)+0.5*(1+0.9*H81)</f>
        <v/>
      </c>
      <c r="I82" s="9" t="n">
        <v>0</v>
      </c>
      <c r="J82" s="29">
        <f>MAX(ABS(G82-G81),ABS(H82-H81))</f>
        <v/>
      </c>
      <c r="K82" s="29">
        <f>MAX(ABS(B82-G82),ABS(C82-H82))</f>
        <v/>
      </c>
    </row>
    <row r="83">
      <c r="A83" s="9" t="n">
        <v>17</v>
      </c>
      <c r="B83" s="29">
        <f>0.5*(2+0.9*B82)+0.5*(2+0.9*C82)</f>
        <v/>
      </c>
      <c r="C83" s="29">
        <f>0.5*(1+0.9*B82)+0.5*(1+0.9*C82)</f>
        <v/>
      </c>
      <c r="D83" s="9" t="n">
        <v>0</v>
      </c>
      <c r="E83" s="29">
        <f>MAX(ABS(B83-B82),ABS(C83-C82))</f>
        <v/>
      </c>
      <c r="F83" s="9" t="inlineStr"/>
      <c r="G83" s="29">
        <f>0.5*(2+0.9*G82)+0.5*(2+0.9*H82)</f>
        <v/>
      </c>
      <c r="H83" s="29">
        <f>0.5*(1+0.9*G83)+0.5*(1+0.9*H82)</f>
        <v/>
      </c>
      <c r="I83" s="9" t="n">
        <v>0</v>
      </c>
      <c r="J83" s="29">
        <f>MAX(ABS(G83-G82),ABS(H83-H82))</f>
        <v/>
      </c>
      <c r="K83" s="29">
        <f>MAX(ABS(B83-G83),ABS(C83-H83))</f>
        <v/>
      </c>
    </row>
    <row r="84">
      <c r="A84" s="9" t="n">
        <v>18</v>
      </c>
      <c r="B84" s="29">
        <f>0.5*(2+0.9*B83)+0.5*(2+0.9*C83)</f>
        <v/>
      </c>
      <c r="C84" s="29">
        <f>0.5*(1+0.9*B83)+0.5*(1+0.9*C83)</f>
        <v/>
      </c>
      <c r="D84" s="9" t="n">
        <v>0</v>
      </c>
      <c r="E84" s="29">
        <f>MAX(ABS(B84-B83),ABS(C84-C83))</f>
        <v/>
      </c>
      <c r="F84" s="9" t="inlineStr"/>
      <c r="G84" s="29">
        <f>0.5*(2+0.9*G83)+0.5*(2+0.9*H83)</f>
        <v/>
      </c>
      <c r="H84" s="29">
        <f>0.5*(1+0.9*G84)+0.5*(1+0.9*H83)</f>
        <v/>
      </c>
      <c r="I84" s="9" t="n">
        <v>0</v>
      </c>
      <c r="J84" s="29">
        <f>MAX(ABS(G84-G83),ABS(H84-H83))</f>
        <v/>
      </c>
      <c r="K84" s="29">
        <f>MAX(ABS(B84-G84),ABS(C84-H84))</f>
        <v/>
      </c>
    </row>
    <row r="85">
      <c r="A85" s="9" t="n">
        <v>19</v>
      </c>
      <c r="B85" s="29">
        <f>0.5*(2+0.9*B84)+0.5*(2+0.9*C84)</f>
        <v/>
      </c>
      <c r="C85" s="29">
        <f>0.5*(1+0.9*B84)+0.5*(1+0.9*C84)</f>
        <v/>
      </c>
      <c r="D85" s="9" t="n">
        <v>0</v>
      </c>
      <c r="E85" s="29">
        <f>MAX(ABS(B85-B84),ABS(C85-C84))</f>
        <v/>
      </c>
      <c r="F85" s="9" t="inlineStr"/>
      <c r="G85" s="29">
        <f>0.5*(2+0.9*G84)+0.5*(2+0.9*H84)</f>
        <v/>
      </c>
      <c r="H85" s="29">
        <f>0.5*(1+0.9*G85)+0.5*(1+0.9*H84)</f>
        <v/>
      </c>
      <c r="I85" s="9" t="n">
        <v>0</v>
      </c>
      <c r="J85" s="29">
        <f>MAX(ABS(G85-G84),ABS(H85-H84))</f>
        <v/>
      </c>
      <c r="K85" s="29">
        <f>MAX(ABS(B85-G85),ABS(C85-H85))</f>
        <v/>
      </c>
    </row>
    <row r="86">
      <c r="A86" s="9" t="n">
        <v>20</v>
      </c>
      <c r="B86" s="29">
        <f>0.5*(2+0.9*B85)+0.5*(2+0.9*C85)</f>
        <v/>
      </c>
      <c r="C86" s="29">
        <f>0.5*(1+0.9*B85)+0.5*(1+0.9*C85)</f>
        <v/>
      </c>
      <c r="D86" s="9" t="n">
        <v>0</v>
      </c>
      <c r="E86" s="29">
        <f>MAX(ABS(B86-B85),ABS(C86-C85))</f>
        <v/>
      </c>
      <c r="F86" s="9" t="inlineStr"/>
      <c r="G86" s="29">
        <f>0.5*(2+0.9*G85)+0.5*(2+0.9*H85)</f>
        <v/>
      </c>
      <c r="H86" s="29">
        <f>0.5*(1+0.9*G86)+0.5*(1+0.9*H85)</f>
        <v/>
      </c>
      <c r="I86" s="9" t="n">
        <v>0</v>
      </c>
      <c r="J86" s="29">
        <f>MAX(ABS(G86-G85),ABS(H86-H85))</f>
        <v/>
      </c>
      <c r="K86" s="29">
        <f>MAX(ABS(B86-G86),ABS(C86-H86))</f>
        <v/>
      </c>
    </row>
    <row r="87">
      <c r="A87" s="9" t="n">
        <v>21</v>
      </c>
      <c r="B87" s="29">
        <f>0.5*(2+0.9*B86)+0.5*(2+0.9*C86)</f>
        <v/>
      </c>
      <c r="C87" s="29">
        <f>0.5*(1+0.9*B86)+0.5*(1+0.9*C86)</f>
        <v/>
      </c>
      <c r="D87" s="9" t="n">
        <v>0</v>
      </c>
      <c r="E87" s="29">
        <f>MAX(ABS(B87-B86),ABS(C87-C86))</f>
        <v/>
      </c>
      <c r="F87" s="9" t="inlineStr"/>
      <c r="G87" s="29">
        <f>0.5*(2+0.9*G86)+0.5*(2+0.9*H86)</f>
        <v/>
      </c>
      <c r="H87" s="29">
        <f>0.5*(1+0.9*G87)+0.5*(1+0.9*H86)</f>
        <v/>
      </c>
      <c r="I87" s="9" t="n">
        <v>0</v>
      </c>
      <c r="J87" s="29">
        <f>MAX(ABS(G87-G86),ABS(H87-H86))</f>
        <v/>
      </c>
      <c r="K87" s="29">
        <f>MAX(ABS(B87-G87),ABS(C87-H87))</f>
        <v/>
      </c>
    </row>
    <row r="88">
      <c r="A88" s="9" t="n">
        <v>22</v>
      </c>
      <c r="B88" s="29">
        <f>0.5*(2+0.9*B87)+0.5*(2+0.9*C87)</f>
        <v/>
      </c>
      <c r="C88" s="29">
        <f>0.5*(1+0.9*B87)+0.5*(1+0.9*C87)</f>
        <v/>
      </c>
      <c r="D88" s="9" t="n">
        <v>0</v>
      </c>
      <c r="E88" s="29">
        <f>MAX(ABS(B88-B87),ABS(C88-C87))</f>
        <v/>
      </c>
      <c r="F88" s="9" t="inlineStr"/>
      <c r="G88" s="29">
        <f>0.5*(2+0.9*G87)+0.5*(2+0.9*H87)</f>
        <v/>
      </c>
      <c r="H88" s="29">
        <f>0.5*(1+0.9*G88)+0.5*(1+0.9*H87)</f>
        <v/>
      </c>
      <c r="I88" s="9" t="n">
        <v>0</v>
      </c>
      <c r="J88" s="29">
        <f>MAX(ABS(G88-G87),ABS(H88-H87))</f>
        <v/>
      </c>
      <c r="K88" s="29">
        <f>MAX(ABS(B88-G88),ABS(C88-H88))</f>
        <v/>
      </c>
    </row>
    <row r="89">
      <c r="A89" s="9" t="n">
        <v>23</v>
      </c>
      <c r="B89" s="29">
        <f>0.5*(2+0.9*B88)+0.5*(2+0.9*C88)</f>
        <v/>
      </c>
      <c r="C89" s="29">
        <f>0.5*(1+0.9*B88)+0.5*(1+0.9*C88)</f>
        <v/>
      </c>
      <c r="D89" s="9" t="n">
        <v>0</v>
      </c>
      <c r="E89" s="29">
        <f>MAX(ABS(B89-B88),ABS(C89-C88))</f>
        <v/>
      </c>
      <c r="F89" s="9" t="inlineStr"/>
      <c r="G89" s="29">
        <f>0.5*(2+0.9*G88)+0.5*(2+0.9*H88)</f>
        <v/>
      </c>
      <c r="H89" s="29">
        <f>0.5*(1+0.9*G89)+0.5*(1+0.9*H88)</f>
        <v/>
      </c>
      <c r="I89" s="9" t="n">
        <v>0</v>
      </c>
      <c r="J89" s="29">
        <f>MAX(ABS(G89-G88),ABS(H89-H88))</f>
        <v/>
      </c>
      <c r="K89" s="29">
        <f>MAX(ABS(B89-G89),ABS(C89-H89))</f>
        <v/>
      </c>
    </row>
    <row r="90">
      <c r="A90" s="9" t="n">
        <v>24</v>
      </c>
      <c r="B90" s="29">
        <f>0.5*(2+0.9*B89)+0.5*(2+0.9*C89)</f>
        <v/>
      </c>
      <c r="C90" s="29">
        <f>0.5*(1+0.9*B89)+0.5*(1+0.9*C89)</f>
        <v/>
      </c>
      <c r="D90" s="9" t="n">
        <v>0</v>
      </c>
      <c r="E90" s="29">
        <f>MAX(ABS(B90-B89),ABS(C90-C89))</f>
        <v/>
      </c>
      <c r="F90" s="9" t="inlineStr"/>
      <c r="G90" s="29">
        <f>0.5*(2+0.9*G89)+0.5*(2+0.9*H89)</f>
        <v/>
      </c>
      <c r="H90" s="29">
        <f>0.5*(1+0.9*G90)+0.5*(1+0.9*H89)</f>
        <v/>
      </c>
      <c r="I90" s="9" t="n">
        <v>0</v>
      </c>
      <c r="J90" s="29">
        <f>MAX(ABS(G90-G89),ABS(H90-H89))</f>
        <v/>
      </c>
      <c r="K90" s="29">
        <f>MAX(ABS(B90-G90),ABS(C90-H90))</f>
        <v/>
      </c>
    </row>
    <row r="91">
      <c r="A91" s="9" t="n">
        <v>25</v>
      </c>
      <c r="B91" s="29">
        <f>0.5*(2+0.9*B90)+0.5*(2+0.9*C90)</f>
        <v/>
      </c>
      <c r="C91" s="29">
        <f>0.5*(1+0.9*B90)+0.5*(1+0.9*C90)</f>
        <v/>
      </c>
      <c r="D91" s="9" t="n">
        <v>0</v>
      </c>
      <c r="E91" s="29">
        <f>MAX(ABS(B91-B90),ABS(C91-C90))</f>
        <v/>
      </c>
      <c r="F91" s="9" t="inlineStr"/>
      <c r="G91" s="29">
        <f>0.5*(2+0.9*G90)+0.5*(2+0.9*H90)</f>
        <v/>
      </c>
      <c r="H91" s="29">
        <f>0.5*(1+0.9*G91)+0.5*(1+0.9*H90)</f>
        <v/>
      </c>
      <c r="I91" s="9" t="n">
        <v>0</v>
      </c>
      <c r="J91" s="29">
        <f>MAX(ABS(G91-G90),ABS(H91-H90))</f>
        <v/>
      </c>
      <c r="K91" s="29">
        <f>MAX(ABS(B91-G91),ABS(C91-H91))</f>
        <v/>
      </c>
    </row>
    <row r="92">
      <c r="A92" s="9" t="n">
        <v>26</v>
      </c>
      <c r="B92" s="29">
        <f>0.5*(2+0.9*B91)+0.5*(2+0.9*C91)</f>
        <v/>
      </c>
      <c r="C92" s="29">
        <f>0.5*(1+0.9*B91)+0.5*(1+0.9*C91)</f>
        <v/>
      </c>
      <c r="D92" s="9" t="n">
        <v>0</v>
      </c>
      <c r="E92" s="29">
        <f>MAX(ABS(B92-B91),ABS(C92-C91))</f>
        <v/>
      </c>
      <c r="F92" s="9" t="inlineStr"/>
      <c r="G92" s="29">
        <f>0.5*(2+0.9*G91)+0.5*(2+0.9*H91)</f>
        <v/>
      </c>
      <c r="H92" s="29">
        <f>0.5*(1+0.9*G92)+0.5*(1+0.9*H91)</f>
        <v/>
      </c>
      <c r="I92" s="9" t="n">
        <v>0</v>
      </c>
      <c r="J92" s="29">
        <f>MAX(ABS(G92-G91),ABS(H92-H91))</f>
        <v/>
      </c>
      <c r="K92" s="29">
        <f>MAX(ABS(B92-G92),ABS(C92-H92))</f>
        <v/>
      </c>
    </row>
    <row r="93">
      <c r="A93" s="9" t="n">
        <v>27</v>
      </c>
      <c r="B93" s="29">
        <f>0.5*(2+0.9*B92)+0.5*(2+0.9*C92)</f>
        <v/>
      </c>
      <c r="C93" s="29">
        <f>0.5*(1+0.9*B92)+0.5*(1+0.9*C92)</f>
        <v/>
      </c>
      <c r="D93" s="9" t="n">
        <v>0</v>
      </c>
      <c r="E93" s="29">
        <f>MAX(ABS(B93-B92),ABS(C93-C92))</f>
        <v/>
      </c>
      <c r="F93" s="9" t="inlineStr"/>
      <c r="G93" s="29">
        <f>0.5*(2+0.9*G92)+0.5*(2+0.9*H92)</f>
        <v/>
      </c>
      <c r="H93" s="29">
        <f>0.5*(1+0.9*G93)+0.5*(1+0.9*H92)</f>
        <v/>
      </c>
      <c r="I93" s="9" t="n">
        <v>0</v>
      </c>
      <c r="J93" s="29">
        <f>MAX(ABS(G93-G92),ABS(H93-H92))</f>
        <v/>
      </c>
      <c r="K93" s="29">
        <f>MAX(ABS(B93-G93),ABS(C93-H93))</f>
        <v/>
      </c>
    </row>
    <row r="94">
      <c r="A94" s="9" t="n">
        <v>28</v>
      </c>
      <c r="B94" s="29">
        <f>0.5*(2+0.9*B93)+0.5*(2+0.9*C93)</f>
        <v/>
      </c>
      <c r="C94" s="29">
        <f>0.5*(1+0.9*B93)+0.5*(1+0.9*C93)</f>
        <v/>
      </c>
      <c r="D94" s="9" t="n">
        <v>0</v>
      </c>
      <c r="E94" s="29">
        <f>MAX(ABS(B94-B93),ABS(C94-C93))</f>
        <v/>
      </c>
      <c r="F94" s="9" t="inlineStr"/>
      <c r="G94" s="29">
        <f>0.5*(2+0.9*G93)+0.5*(2+0.9*H93)</f>
        <v/>
      </c>
      <c r="H94" s="29">
        <f>0.5*(1+0.9*G94)+0.5*(1+0.9*H93)</f>
        <v/>
      </c>
      <c r="I94" s="9" t="n">
        <v>0</v>
      </c>
      <c r="J94" s="29">
        <f>MAX(ABS(G94-G93),ABS(H94-H93))</f>
        <v/>
      </c>
      <c r="K94" s="29">
        <f>MAX(ABS(B94-G94),ABS(C94-H94))</f>
        <v/>
      </c>
    </row>
    <row r="95">
      <c r="A95" s="9" t="n">
        <v>29</v>
      </c>
      <c r="B95" s="29">
        <f>0.5*(2+0.9*B94)+0.5*(2+0.9*C94)</f>
        <v/>
      </c>
      <c r="C95" s="29">
        <f>0.5*(1+0.9*B94)+0.5*(1+0.9*C94)</f>
        <v/>
      </c>
      <c r="D95" s="9" t="n">
        <v>0</v>
      </c>
      <c r="E95" s="29">
        <f>MAX(ABS(B95-B94),ABS(C95-C94))</f>
        <v/>
      </c>
      <c r="F95" s="9" t="inlineStr"/>
      <c r="G95" s="29">
        <f>0.5*(2+0.9*G94)+0.5*(2+0.9*H94)</f>
        <v/>
      </c>
      <c r="H95" s="29">
        <f>0.5*(1+0.9*G95)+0.5*(1+0.9*H94)</f>
        <v/>
      </c>
      <c r="I95" s="9" t="n">
        <v>0</v>
      </c>
      <c r="J95" s="29">
        <f>MAX(ABS(G95-G94),ABS(H95-H94))</f>
        <v/>
      </c>
      <c r="K95" s="29">
        <f>MAX(ABS(B95-G95),ABS(C95-H95))</f>
        <v/>
      </c>
    </row>
    <row r="96">
      <c r="A96" s="9" t="n">
        <v>30</v>
      </c>
      <c r="B96" s="29">
        <f>0.5*(2+0.9*B95)+0.5*(2+0.9*C95)</f>
        <v/>
      </c>
      <c r="C96" s="29">
        <f>0.5*(1+0.9*B95)+0.5*(1+0.9*C95)</f>
        <v/>
      </c>
      <c r="D96" s="9" t="n">
        <v>0</v>
      </c>
      <c r="E96" s="29">
        <f>MAX(ABS(B96-B95),ABS(C96-C95))</f>
        <v/>
      </c>
      <c r="F96" s="9" t="inlineStr"/>
      <c r="G96" s="29">
        <f>0.5*(2+0.9*G95)+0.5*(2+0.9*H95)</f>
        <v/>
      </c>
      <c r="H96" s="29">
        <f>0.5*(1+0.9*G96)+0.5*(1+0.9*H95)</f>
        <v/>
      </c>
      <c r="I96" s="9" t="n">
        <v>0</v>
      </c>
      <c r="J96" s="29">
        <f>MAX(ABS(G96-G95),ABS(H96-H95))</f>
        <v/>
      </c>
      <c r="K96" s="29">
        <f>MAX(ABS(B96-G96),ABS(C96-H96))</f>
        <v/>
      </c>
    </row>
    <row r="97">
      <c r="A97" s="9" t="n">
        <v>31</v>
      </c>
      <c r="B97" s="29">
        <f>0.5*(2+0.9*B96)+0.5*(2+0.9*C96)</f>
        <v/>
      </c>
      <c r="C97" s="29">
        <f>0.5*(1+0.9*B96)+0.5*(1+0.9*C96)</f>
        <v/>
      </c>
      <c r="D97" s="9" t="n">
        <v>0</v>
      </c>
      <c r="E97" s="29">
        <f>MAX(ABS(B97-B96),ABS(C97-C96))</f>
        <v/>
      </c>
      <c r="F97" s="9" t="inlineStr"/>
      <c r="G97" s="29">
        <f>0.5*(2+0.9*G96)+0.5*(2+0.9*H96)</f>
        <v/>
      </c>
      <c r="H97" s="29">
        <f>0.5*(1+0.9*G97)+0.5*(1+0.9*H96)</f>
        <v/>
      </c>
      <c r="I97" s="9" t="n">
        <v>0</v>
      </c>
      <c r="J97" s="29">
        <f>MAX(ABS(G97-G96),ABS(H97-H96))</f>
        <v/>
      </c>
      <c r="K97" s="29">
        <f>MAX(ABS(B97-G97),ABS(C97-H97))</f>
        <v/>
      </c>
    </row>
    <row r="98">
      <c r="A98" s="9" t="n">
        <v>32</v>
      </c>
      <c r="B98" s="29">
        <f>0.5*(2+0.9*B97)+0.5*(2+0.9*C97)</f>
        <v/>
      </c>
      <c r="C98" s="29">
        <f>0.5*(1+0.9*B97)+0.5*(1+0.9*C97)</f>
        <v/>
      </c>
      <c r="D98" s="9" t="n">
        <v>0</v>
      </c>
      <c r="E98" s="29">
        <f>MAX(ABS(B98-B97),ABS(C98-C97))</f>
        <v/>
      </c>
      <c r="F98" s="9" t="inlineStr"/>
      <c r="G98" s="29">
        <f>0.5*(2+0.9*G97)+0.5*(2+0.9*H97)</f>
        <v/>
      </c>
      <c r="H98" s="29">
        <f>0.5*(1+0.9*G98)+0.5*(1+0.9*H97)</f>
        <v/>
      </c>
      <c r="I98" s="9" t="n">
        <v>0</v>
      </c>
      <c r="J98" s="29">
        <f>MAX(ABS(G98-G97),ABS(H98-H97))</f>
        <v/>
      </c>
      <c r="K98" s="29">
        <f>MAX(ABS(B98-G98),ABS(C98-H98))</f>
        <v/>
      </c>
    </row>
    <row r="99">
      <c r="A99" s="9" t="n">
        <v>33</v>
      </c>
      <c r="B99" s="29">
        <f>0.5*(2+0.9*B98)+0.5*(2+0.9*C98)</f>
        <v/>
      </c>
      <c r="C99" s="29">
        <f>0.5*(1+0.9*B98)+0.5*(1+0.9*C98)</f>
        <v/>
      </c>
      <c r="D99" s="9" t="n">
        <v>0</v>
      </c>
      <c r="E99" s="29">
        <f>MAX(ABS(B99-B98),ABS(C99-C98))</f>
        <v/>
      </c>
      <c r="F99" s="9" t="inlineStr"/>
      <c r="G99" s="29">
        <f>0.5*(2+0.9*G98)+0.5*(2+0.9*H98)</f>
        <v/>
      </c>
      <c r="H99" s="29">
        <f>0.5*(1+0.9*G99)+0.5*(1+0.9*H98)</f>
        <v/>
      </c>
      <c r="I99" s="9" t="n">
        <v>0</v>
      </c>
      <c r="J99" s="29">
        <f>MAX(ABS(G99-G98),ABS(H99-H98))</f>
        <v/>
      </c>
      <c r="K99" s="29">
        <f>MAX(ABS(B99-G99),ABS(C99-H99))</f>
        <v/>
      </c>
    </row>
    <row r="100">
      <c r="A100" s="9" t="n">
        <v>34</v>
      </c>
      <c r="B100" s="29">
        <f>0.5*(2+0.9*B99)+0.5*(2+0.9*C99)</f>
        <v/>
      </c>
      <c r="C100" s="29">
        <f>0.5*(1+0.9*B99)+0.5*(1+0.9*C99)</f>
        <v/>
      </c>
      <c r="D100" s="9" t="n">
        <v>0</v>
      </c>
      <c r="E100" s="29">
        <f>MAX(ABS(B100-B99),ABS(C100-C99))</f>
        <v/>
      </c>
      <c r="F100" s="9" t="inlineStr"/>
      <c r="G100" s="29">
        <f>0.5*(2+0.9*G99)+0.5*(2+0.9*H99)</f>
        <v/>
      </c>
      <c r="H100" s="29">
        <f>0.5*(1+0.9*G100)+0.5*(1+0.9*H99)</f>
        <v/>
      </c>
      <c r="I100" s="9" t="n">
        <v>0</v>
      </c>
      <c r="J100" s="29">
        <f>MAX(ABS(G100-G99),ABS(H100-H99))</f>
        <v/>
      </c>
      <c r="K100" s="29">
        <f>MAX(ABS(B100-G100),ABS(C100-H100))</f>
        <v/>
      </c>
    </row>
    <row r="101">
      <c r="A101" s="9" t="n">
        <v>35</v>
      </c>
      <c r="B101" s="29">
        <f>0.5*(2+0.9*B100)+0.5*(2+0.9*C100)</f>
        <v/>
      </c>
      <c r="C101" s="29">
        <f>0.5*(1+0.9*B100)+0.5*(1+0.9*C100)</f>
        <v/>
      </c>
      <c r="D101" s="9" t="n">
        <v>0</v>
      </c>
      <c r="E101" s="29">
        <f>MAX(ABS(B101-B100),ABS(C101-C100))</f>
        <v/>
      </c>
      <c r="F101" s="9" t="inlineStr"/>
      <c r="G101" s="29">
        <f>0.5*(2+0.9*G100)+0.5*(2+0.9*H100)</f>
        <v/>
      </c>
      <c r="H101" s="29">
        <f>0.5*(1+0.9*G101)+0.5*(1+0.9*H100)</f>
        <v/>
      </c>
      <c r="I101" s="9" t="n">
        <v>0</v>
      </c>
      <c r="J101" s="29">
        <f>MAX(ABS(G101-G100),ABS(H101-H100))</f>
        <v/>
      </c>
      <c r="K101" s="29">
        <f>MAX(ABS(B101-G101),ABS(C101-H101))</f>
        <v/>
      </c>
    </row>
    <row r="102">
      <c r="A102" s="9" t="n">
        <v>36</v>
      </c>
      <c r="B102" s="29">
        <f>0.5*(2+0.9*B101)+0.5*(2+0.9*C101)</f>
        <v/>
      </c>
      <c r="C102" s="29">
        <f>0.5*(1+0.9*B101)+0.5*(1+0.9*C101)</f>
        <v/>
      </c>
      <c r="D102" s="9" t="n">
        <v>0</v>
      </c>
      <c r="E102" s="29">
        <f>MAX(ABS(B102-B101),ABS(C102-C101))</f>
        <v/>
      </c>
      <c r="F102" s="9" t="inlineStr"/>
      <c r="G102" s="29">
        <f>0.5*(2+0.9*G101)+0.5*(2+0.9*H101)</f>
        <v/>
      </c>
      <c r="H102" s="29">
        <f>0.5*(1+0.9*G102)+0.5*(1+0.9*H101)</f>
        <v/>
      </c>
      <c r="I102" s="9" t="n">
        <v>0</v>
      </c>
      <c r="J102" s="29">
        <f>MAX(ABS(G102-G101),ABS(H102-H101))</f>
        <v/>
      </c>
      <c r="K102" s="29">
        <f>MAX(ABS(B102-G102),ABS(C102-H102))</f>
        <v/>
      </c>
    </row>
    <row r="103">
      <c r="A103" s="9" t="n">
        <v>37</v>
      </c>
      <c r="B103" s="29">
        <f>0.5*(2+0.9*B102)+0.5*(2+0.9*C102)</f>
        <v/>
      </c>
      <c r="C103" s="29">
        <f>0.5*(1+0.9*B102)+0.5*(1+0.9*C102)</f>
        <v/>
      </c>
      <c r="D103" s="9" t="n">
        <v>0</v>
      </c>
      <c r="E103" s="29">
        <f>MAX(ABS(B103-B102),ABS(C103-C102))</f>
        <v/>
      </c>
      <c r="F103" s="9" t="inlineStr"/>
      <c r="G103" s="29">
        <f>0.5*(2+0.9*G102)+0.5*(2+0.9*H102)</f>
        <v/>
      </c>
      <c r="H103" s="29">
        <f>0.5*(1+0.9*G103)+0.5*(1+0.9*H102)</f>
        <v/>
      </c>
      <c r="I103" s="9" t="n">
        <v>0</v>
      </c>
      <c r="J103" s="29">
        <f>MAX(ABS(G103-G102),ABS(H103-H102))</f>
        <v/>
      </c>
      <c r="K103" s="29">
        <f>MAX(ABS(B103-G103),ABS(C103-H103))</f>
        <v/>
      </c>
    </row>
    <row r="104">
      <c r="A104" s="9" t="n">
        <v>38</v>
      </c>
      <c r="B104" s="29">
        <f>0.5*(2+0.9*B103)+0.5*(2+0.9*C103)</f>
        <v/>
      </c>
      <c r="C104" s="29">
        <f>0.5*(1+0.9*B103)+0.5*(1+0.9*C103)</f>
        <v/>
      </c>
      <c r="D104" s="9" t="n">
        <v>0</v>
      </c>
      <c r="E104" s="29">
        <f>MAX(ABS(B104-B103),ABS(C104-C103))</f>
        <v/>
      </c>
      <c r="F104" s="9" t="inlineStr"/>
      <c r="G104" s="29">
        <f>0.5*(2+0.9*G103)+0.5*(2+0.9*H103)</f>
        <v/>
      </c>
      <c r="H104" s="29">
        <f>0.5*(1+0.9*G104)+0.5*(1+0.9*H103)</f>
        <v/>
      </c>
      <c r="I104" s="9" t="n">
        <v>0</v>
      </c>
      <c r="J104" s="29">
        <f>MAX(ABS(G104-G103),ABS(H104-H103))</f>
        <v/>
      </c>
      <c r="K104" s="29">
        <f>MAX(ABS(B104-G104),ABS(C104-H104))</f>
        <v/>
      </c>
    </row>
    <row r="105">
      <c r="A105" s="9" t="n">
        <v>39</v>
      </c>
      <c r="B105" s="29">
        <f>0.5*(2+0.9*B104)+0.5*(2+0.9*C104)</f>
        <v/>
      </c>
      <c r="C105" s="29">
        <f>0.5*(1+0.9*B104)+0.5*(1+0.9*C104)</f>
        <v/>
      </c>
      <c r="D105" s="9" t="n">
        <v>0</v>
      </c>
      <c r="E105" s="29">
        <f>MAX(ABS(B105-B104),ABS(C105-C104))</f>
        <v/>
      </c>
      <c r="F105" s="9" t="inlineStr"/>
      <c r="G105" s="29">
        <f>0.5*(2+0.9*G104)+0.5*(2+0.9*H104)</f>
        <v/>
      </c>
      <c r="H105" s="29">
        <f>0.5*(1+0.9*G105)+0.5*(1+0.9*H104)</f>
        <v/>
      </c>
      <c r="I105" s="9" t="n">
        <v>0</v>
      </c>
      <c r="J105" s="29">
        <f>MAX(ABS(G105-G104),ABS(H105-H104))</f>
        <v/>
      </c>
      <c r="K105" s="29">
        <f>MAX(ABS(B105-G105),ABS(C105-H105))</f>
        <v/>
      </c>
    </row>
    <row r="106">
      <c r="A106" s="9" t="n">
        <v>40</v>
      </c>
      <c r="B106" s="29">
        <f>0.5*(2+0.9*B105)+0.5*(2+0.9*C105)</f>
        <v/>
      </c>
      <c r="C106" s="29">
        <f>0.5*(1+0.9*B105)+0.5*(1+0.9*C105)</f>
        <v/>
      </c>
      <c r="D106" s="9" t="n">
        <v>0</v>
      </c>
      <c r="E106" s="29">
        <f>MAX(ABS(B106-B105),ABS(C106-C105))</f>
        <v/>
      </c>
      <c r="F106" s="9" t="inlineStr"/>
      <c r="G106" s="29">
        <f>0.5*(2+0.9*G105)+0.5*(2+0.9*H105)</f>
        <v/>
      </c>
      <c r="H106" s="29">
        <f>0.5*(1+0.9*G106)+0.5*(1+0.9*H105)</f>
        <v/>
      </c>
      <c r="I106" s="9" t="n">
        <v>0</v>
      </c>
      <c r="J106" s="29">
        <f>MAX(ABS(G106-G105),ABS(H106-H105))</f>
        <v/>
      </c>
      <c r="K106" s="29">
        <f>MAX(ABS(B106-G106),ABS(C106-H106))</f>
        <v/>
      </c>
    </row>
    <row r="107">
      <c r="A107" s="9" t="n">
        <v>41</v>
      </c>
      <c r="B107" s="29">
        <f>0.5*(2+0.9*B106)+0.5*(2+0.9*C106)</f>
        <v/>
      </c>
      <c r="C107" s="29">
        <f>0.5*(1+0.9*B106)+0.5*(1+0.9*C106)</f>
        <v/>
      </c>
      <c r="D107" s="9" t="n">
        <v>0</v>
      </c>
      <c r="E107" s="29">
        <f>MAX(ABS(B107-B106),ABS(C107-C106))</f>
        <v/>
      </c>
      <c r="F107" s="9" t="inlineStr"/>
      <c r="G107" s="29">
        <f>0.5*(2+0.9*G106)+0.5*(2+0.9*H106)</f>
        <v/>
      </c>
      <c r="H107" s="29">
        <f>0.5*(1+0.9*G107)+0.5*(1+0.9*H106)</f>
        <v/>
      </c>
      <c r="I107" s="9" t="n">
        <v>0</v>
      </c>
      <c r="J107" s="29">
        <f>MAX(ABS(G107-G106),ABS(H107-H106))</f>
        <v/>
      </c>
      <c r="K107" s="29">
        <f>MAX(ABS(B107-G107),ABS(C107-H107))</f>
        <v/>
      </c>
    </row>
    <row r="108">
      <c r="A108" s="9" t="n">
        <v>42</v>
      </c>
      <c r="B108" s="29">
        <f>0.5*(2+0.9*B107)+0.5*(2+0.9*C107)</f>
        <v/>
      </c>
      <c r="C108" s="29">
        <f>0.5*(1+0.9*B107)+0.5*(1+0.9*C107)</f>
        <v/>
      </c>
      <c r="D108" s="9" t="n">
        <v>0</v>
      </c>
      <c r="E108" s="29">
        <f>MAX(ABS(B108-B107),ABS(C108-C107))</f>
        <v/>
      </c>
      <c r="F108" s="9" t="inlineStr"/>
      <c r="G108" s="29">
        <f>0.5*(2+0.9*G107)+0.5*(2+0.9*H107)</f>
        <v/>
      </c>
      <c r="H108" s="29">
        <f>0.5*(1+0.9*G108)+0.5*(1+0.9*H107)</f>
        <v/>
      </c>
      <c r="I108" s="9" t="n">
        <v>0</v>
      </c>
      <c r="J108" s="29">
        <f>MAX(ABS(G108-G107),ABS(H108-H107))</f>
        <v/>
      </c>
      <c r="K108" s="29">
        <f>MAX(ABS(B108-G108),ABS(C108-H108))</f>
        <v/>
      </c>
    </row>
    <row r="109">
      <c r="A109" s="9" t="n">
        <v>43</v>
      </c>
      <c r="B109" s="29">
        <f>0.5*(2+0.9*B108)+0.5*(2+0.9*C108)</f>
        <v/>
      </c>
      <c r="C109" s="29">
        <f>0.5*(1+0.9*B108)+0.5*(1+0.9*C108)</f>
        <v/>
      </c>
      <c r="D109" s="9" t="n">
        <v>0</v>
      </c>
      <c r="E109" s="29">
        <f>MAX(ABS(B109-B108),ABS(C109-C108))</f>
        <v/>
      </c>
      <c r="F109" s="9" t="inlineStr"/>
      <c r="G109" s="29">
        <f>0.5*(2+0.9*G108)+0.5*(2+0.9*H108)</f>
        <v/>
      </c>
      <c r="H109" s="29">
        <f>0.5*(1+0.9*G109)+0.5*(1+0.9*H108)</f>
        <v/>
      </c>
      <c r="I109" s="9" t="n">
        <v>0</v>
      </c>
      <c r="J109" s="29">
        <f>MAX(ABS(G109-G108),ABS(H109-H108))</f>
        <v/>
      </c>
      <c r="K109" s="29">
        <f>MAX(ABS(B109-G109),ABS(C109-H109))</f>
        <v/>
      </c>
    </row>
    <row r="110">
      <c r="A110" s="9" t="n">
        <v>44</v>
      </c>
      <c r="B110" s="29">
        <f>0.5*(2+0.9*B109)+0.5*(2+0.9*C109)</f>
        <v/>
      </c>
      <c r="C110" s="29">
        <f>0.5*(1+0.9*B109)+0.5*(1+0.9*C109)</f>
        <v/>
      </c>
      <c r="D110" s="9" t="n">
        <v>0</v>
      </c>
      <c r="E110" s="29">
        <f>MAX(ABS(B110-B109),ABS(C110-C109))</f>
        <v/>
      </c>
      <c r="F110" s="9" t="inlineStr"/>
      <c r="G110" s="29">
        <f>0.5*(2+0.9*G109)+0.5*(2+0.9*H109)</f>
        <v/>
      </c>
      <c r="H110" s="29">
        <f>0.5*(1+0.9*G110)+0.5*(1+0.9*H109)</f>
        <v/>
      </c>
      <c r="I110" s="9" t="n">
        <v>0</v>
      </c>
      <c r="J110" s="29">
        <f>MAX(ABS(G110-G109),ABS(H110-H109))</f>
        <v/>
      </c>
      <c r="K110" s="29">
        <f>MAX(ABS(B110-G110),ABS(C110-H110))</f>
        <v/>
      </c>
    </row>
    <row r="111">
      <c r="A111" s="9" t="n">
        <v>45</v>
      </c>
      <c r="B111" s="29">
        <f>0.5*(2+0.9*B110)+0.5*(2+0.9*C110)</f>
        <v/>
      </c>
      <c r="C111" s="29">
        <f>0.5*(1+0.9*B110)+0.5*(1+0.9*C110)</f>
        <v/>
      </c>
      <c r="D111" s="9" t="n">
        <v>0</v>
      </c>
      <c r="E111" s="29">
        <f>MAX(ABS(B111-B110),ABS(C111-C110))</f>
        <v/>
      </c>
      <c r="F111" s="9" t="inlineStr"/>
      <c r="G111" s="29">
        <f>0.5*(2+0.9*G110)+0.5*(2+0.9*H110)</f>
        <v/>
      </c>
      <c r="H111" s="29">
        <f>0.5*(1+0.9*G111)+0.5*(1+0.9*H110)</f>
        <v/>
      </c>
      <c r="I111" s="9" t="n">
        <v>0</v>
      </c>
      <c r="J111" s="29">
        <f>MAX(ABS(G111-G110),ABS(H111-H110))</f>
        <v/>
      </c>
      <c r="K111" s="29">
        <f>MAX(ABS(B111-G111),ABS(C111-H111))</f>
        <v/>
      </c>
    </row>
    <row r="112">
      <c r="A112" s="9" t="n">
        <v>46</v>
      </c>
      <c r="B112" s="29">
        <f>0.5*(2+0.9*B111)+0.5*(2+0.9*C111)</f>
        <v/>
      </c>
      <c r="C112" s="29">
        <f>0.5*(1+0.9*B111)+0.5*(1+0.9*C111)</f>
        <v/>
      </c>
      <c r="D112" s="9" t="n">
        <v>0</v>
      </c>
      <c r="E112" s="29">
        <f>MAX(ABS(B112-B111),ABS(C112-C111))</f>
        <v/>
      </c>
      <c r="F112" s="9" t="inlineStr"/>
      <c r="G112" s="29">
        <f>0.5*(2+0.9*G111)+0.5*(2+0.9*H111)</f>
        <v/>
      </c>
      <c r="H112" s="29">
        <f>0.5*(1+0.9*G112)+0.5*(1+0.9*H111)</f>
        <v/>
      </c>
      <c r="I112" s="9" t="n">
        <v>0</v>
      </c>
      <c r="J112" s="29">
        <f>MAX(ABS(G112-G111),ABS(H112-H111))</f>
        <v/>
      </c>
      <c r="K112" s="29">
        <f>MAX(ABS(B112-G112),ABS(C112-H112))</f>
        <v/>
      </c>
    </row>
    <row r="113">
      <c r="A113" s="9" t="n">
        <v>47</v>
      </c>
      <c r="B113" s="29">
        <f>0.5*(2+0.9*B112)+0.5*(2+0.9*C112)</f>
        <v/>
      </c>
      <c r="C113" s="29">
        <f>0.5*(1+0.9*B112)+0.5*(1+0.9*C112)</f>
        <v/>
      </c>
      <c r="D113" s="9" t="n">
        <v>0</v>
      </c>
      <c r="E113" s="29">
        <f>MAX(ABS(B113-B112),ABS(C113-C112))</f>
        <v/>
      </c>
      <c r="F113" s="9" t="inlineStr"/>
      <c r="G113" s="29">
        <f>0.5*(2+0.9*G112)+0.5*(2+0.9*H112)</f>
        <v/>
      </c>
      <c r="H113" s="29">
        <f>0.5*(1+0.9*G113)+0.5*(1+0.9*H112)</f>
        <v/>
      </c>
      <c r="I113" s="9" t="n">
        <v>0</v>
      </c>
      <c r="J113" s="29">
        <f>MAX(ABS(G113-G112),ABS(H113-H112))</f>
        <v/>
      </c>
      <c r="K113" s="29">
        <f>MAX(ABS(B113-G113),ABS(C113-H113))</f>
        <v/>
      </c>
    </row>
    <row r="114">
      <c r="A114" s="9" t="n">
        <v>48</v>
      </c>
      <c r="B114" s="29">
        <f>0.5*(2+0.9*B113)+0.5*(2+0.9*C113)</f>
        <v/>
      </c>
      <c r="C114" s="29">
        <f>0.5*(1+0.9*B113)+0.5*(1+0.9*C113)</f>
        <v/>
      </c>
      <c r="D114" s="9" t="n">
        <v>0</v>
      </c>
      <c r="E114" s="29">
        <f>MAX(ABS(B114-B113),ABS(C114-C113))</f>
        <v/>
      </c>
      <c r="F114" s="9" t="inlineStr"/>
      <c r="G114" s="29">
        <f>0.5*(2+0.9*G113)+0.5*(2+0.9*H113)</f>
        <v/>
      </c>
      <c r="H114" s="29">
        <f>0.5*(1+0.9*G114)+0.5*(1+0.9*H113)</f>
        <v/>
      </c>
      <c r="I114" s="9" t="n">
        <v>0</v>
      </c>
      <c r="J114" s="29">
        <f>MAX(ABS(G114-G113),ABS(H114-H113))</f>
        <v/>
      </c>
      <c r="K114" s="29">
        <f>MAX(ABS(B114-G114),ABS(C114-H114))</f>
        <v/>
      </c>
    </row>
    <row r="115">
      <c r="A115" s="9" t="n">
        <v>49</v>
      </c>
      <c r="B115" s="29">
        <f>0.5*(2+0.9*B114)+0.5*(2+0.9*C114)</f>
        <v/>
      </c>
      <c r="C115" s="29">
        <f>0.5*(1+0.9*B114)+0.5*(1+0.9*C114)</f>
        <v/>
      </c>
      <c r="D115" s="9" t="n">
        <v>0</v>
      </c>
      <c r="E115" s="29">
        <f>MAX(ABS(B115-B114),ABS(C115-C114))</f>
        <v/>
      </c>
      <c r="F115" s="9" t="inlineStr"/>
      <c r="G115" s="29">
        <f>0.5*(2+0.9*G114)+0.5*(2+0.9*H114)</f>
        <v/>
      </c>
      <c r="H115" s="29">
        <f>0.5*(1+0.9*G115)+0.5*(1+0.9*H114)</f>
        <v/>
      </c>
      <c r="I115" s="9" t="n">
        <v>0</v>
      </c>
      <c r="J115" s="29">
        <f>MAX(ABS(G115-G114),ABS(H115-H114))</f>
        <v/>
      </c>
      <c r="K115" s="29">
        <f>MAX(ABS(B115-G115),ABS(C115-H115))</f>
        <v/>
      </c>
    </row>
    <row r="116">
      <c r="A116" s="9" t="n">
        <v>50</v>
      </c>
      <c r="B116" s="29">
        <f>0.5*(2+0.9*B115)+0.5*(2+0.9*C115)</f>
        <v/>
      </c>
      <c r="C116" s="29">
        <f>0.5*(1+0.9*B115)+0.5*(1+0.9*C115)</f>
        <v/>
      </c>
      <c r="D116" s="9" t="n">
        <v>0</v>
      </c>
      <c r="E116" s="29">
        <f>MAX(ABS(B116-B115),ABS(C116-C115))</f>
        <v/>
      </c>
      <c r="F116" s="9" t="inlineStr"/>
      <c r="G116" s="29">
        <f>0.5*(2+0.9*G115)+0.5*(2+0.9*H115)</f>
        <v/>
      </c>
      <c r="H116" s="29">
        <f>0.5*(1+0.9*G116)+0.5*(1+0.9*H115)</f>
        <v/>
      </c>
      <c r="I116" s="9" t="n">
        <v>0</v>
      </c>
      <c r="J116" s="29">
        <f>MAX(ABS(G116-G115),ABS(H116-H115))</f>
        <v/>
      </c>
      <c r="K116" s="29">
        <f>MAX(ABS(B116-G116),ABS(C116-H116))</f>
        <v/>
      </c>
    </row>
    <row r="117"/>
    <row r="118"/>
    <row r="119">
      <c r="A119" s="32" t="inlineStr">
        <is>
          <t>Policy 3: Aggressive (Always Fast)</t>
        </is>
      </c>
    </row>
    <row r="120">
      <c r="A120" s="4" t="inlineStr">
        <is>
          <t>SYNCHRONOUS: V_{k+1}(C) = 0.5·(2+γ·V_k(C))+0.5·(2+γ·V_k(W)).  V_{k+1}(W) = -10+γ·0 = -10.  (Warm→OH always.)</t>
        </is>
      </c>
    </row>
    <row r="121">
      <c r="A121" s="4" t="inlineStr">
        <is>
          <t>IN-PLACE: V(C) ← fast formula with V_old.  V(W) ← -10.  (Warm doesn't depend on Cool here, so sync=inplace for W.)</t>
        </is>
      </c>
    </row>
    <row r="122">
      <c r="A122" s="6" t="inlineStr">
        <is>
          <t>k</t>
        </is>
      </c>
      <c r="B122" s="6" t="inlineStr">
        <is>
          <t>V_k(C) sync ✱</t>
        </is>
      </c>
      <c r="C122" s="6" t="inlineStr">
        <is>
          <t>V_k(W) sync ✱</t>
        </is>
      </c>
      <c r="D122" s="6" t="inlineStr">
        <is>
          <t>V_k(OH)</t>
        </is>
      </c>
      <c r="E122" s="6" t="inlineStr">
        <is>
          <t>|ΔV| sync ✱</t>
        </is>
      </c>
      <c r="F122" s="30" t="inlineStr"/>
      <c r="G122" s="6" t="inlineStr">
        <is>
          <t>V_k(C) inplace ✱</t>
        </is>
      </c>
      <c r="H122" s="6" t="inlineStr">
        <is>
          <t>V_k(W) inplace ✱</t>
        </is>
      </c>
      <c r="I122" s="6" t="inlineStr">
        <is>
          <t>V_k(OH)</t>
        </is>
      </c>
      <c r="J122" s="6" t="inlineStr">
        <is>
          <t>|ΔV| inplace ✱</t>
        </is>
      </c>
      <c r="K122" s="6" t="inlineStr">
        <is>
          <t>Diff ✱</t>
        </is>
      </c>
    </row>
    <row r="123">
      <c r="A123" s="9" t="n">
        <v>0</v>
      </c>
      <c r="B123" s="9" t="n">
        <v>0</v>
      </c>
      <c r="C123" s="9" t="n">
        <v>0</v>
      </c>
      <c r="D123" s="9" t="n">
        <v>0</v>
      </c>
      <c r="E123" s="9" t="inlineStr">
        <is>
          <t>—</t>
        </is>
      </c>
      <c r="F123" s="9" t="inlineStr"/>
      <c r="G123" s="9" t="n">
        <v>0</v>
      </c>
      <c r="H123" s="9" t="n">
        <v>0</v>
      </c>
      <c r="I123" s="9" t="n">
        <v>0</v>
      </c>
      <c r="J123" s="9" t="inlineStr">
        <is>
          <t>—</t>
        </is>
      </c>
      <c r="K123" s="9" t="inlineStr">
        <is>
          <t>—</t>
        </is>
      </c>
    </row>
    <row r="124">
      <c r="A124" s="9" t="n">
        <v>1</v>
      </c>
      <c r="B124" s="29">
        <f>0.5*(2+0.9*B123)+0.5*(2+0.9*C123)</f>
        <v/>
      </c>
      <c r="C124" s="29">
        <f>1*(-10+0.9*D123)</f>
        <v/>
      </c>
      <c r="D124" s="9" t="n">
        <v>0</v>
      </c>
      <c r="E124" s="29">
        <f>MAX(ABS(B124-B123),ABS(C124-C123))</f>
        <v/>
      </c>
      <c r="F124" s="9" t="inlineStr"/>
      <c r="G124" s="29">
        <f>0.5*(2+0.9*G123)+0.5*(2+0.9*H123)</f>
        <v/>
      </c>
      <c r="H124" s="29">
        <f>1*(-10+0.9*I123)</f>
        <v/>
      </c>
      <c r="I124" s="9" t="n">
        <v>0</v>
      </c>
      <c r="J124" s="29">
        <f>MAX(ABS(G124-G123),ABS(H124-H123))</f>
        <v/>
      </c>
      <c r="K124" s="29">
        <f>MAX(ABS(B124-G124),ABS(C124-H124))</f>
        <v/>
      </c>
    </row>
    <row r="125">
      <c r="A125" s="9" t="n">
        <v>2</v>
      </c>
      <c r="B125" s="29">
        <f>0.5*(2+0.9*B124)+0.5*(2+0.9*C124)</f>
        <v/>
      </c>
      <c r="C125" s="29">
        <f>1*(-10+0.9*D124)</f>
        <v/>
      </c>
      <c r="D125" s="9" t="n">
        <v>0</v>
      </c>
      <c r="E125" s="29">
        <f>MAX(ABS(B125-B124),ABS(C125-C124))</f>
        <v/>
      </c>
      <c r="F125" s="9" t="inlineStr"/>
      <c r="G125" s="29">
        <f>0.5*(2+0.9*G124)+0.5*(2+0.9*H124)</f>
        <v/>
      </c>
      <c r="H125" s="29">
        <f>1*(-10+0.9*I124)</f>
        <v/>
      </c>
      <c r="I125" s="9" t="n">
        <v>0</v>
      </c>
      <c r="J125" s="29">
        <f>MAX(ABS(G125-G124),ABS(H125-H124))</f>
        <v/>
      </c>
      <c r="K125" s="29">
        <f>MAX(ABS(B125-G125),ABS(C125-H125))</f>
        <v/>
      </c>
    </row>
    <row r="126">
      <c r="A126" s="9" t="n">
        <v>3</v>
      </c>
      <c r="B126" s="29">
        <f>0.5*(2+0.9*B125)+0.5*(2+0.9*C125)</f>
        <v/>
      </c>
      <c r="C126" s="29">
        <f>1*(-10+0.9*D125)</f>
        <v/>
      </c>
      <c r="D126" s="9" t="n">
        <v>0</v>
      </c>
      <c r="E126" s="29">
        <f>MAX(ABS(B126-B125),ABS(C126-C125))</f>
        <v/>
      </c>
      <c r="F126" s="9" t="inlineStr"/>
      <c r="G126" s="29">
        <f>0.5*(2+0.9*G125)+0.5*(2+0.9*H125)</f>
        <v/>
      </c>
      <c r="H126" s="29">
        <f>1*(-10+0.9*I125)</f>
        <v/>
      </c>
      <c r="I126" s="9" t="n">
        <v>0</v>
      </c>
      <c r="J126" s="29">
        <f>MAX(ABS(G126-G125),ABS(H126-H125))</f>
        <v/>
      </c>
      <c r="K126" s="29">
        <f>MAX(ABS(B126-G126),ABS(C126-H126))</f>
        <v/>
      </c>
    </row>
    <row r="127">
      <c r="A127" s="9" t="n">
        <v>4</v>
      </c>
      <c r="B127" s="29">
        <f>0.5*(2+0.9*B126)+0.5*(2+0.9*C126)</f>
        <v/>
      </c>
      <c r="C127" s="29">
        <f>1*(-10+0.9*D126)</f>
        <v/>
      </c>
      <c r="D127" s="9" t="n">
        <v>0</v>
      </c>
      <c r="E127" s="29">
        <f>MAX(ABS(B127-B126),ABS(C127-C126))</f>
        <v/>
      </c>
      <c r="F127" s="9" t="inlineStr"/>
      <c r="G127" s="29">
        <f>0.5*(2+0.9*G126)+0.5*(2+0.9*H126)</f>
        <v/>
      </c>
      <c r="H127" s="29">
        <f>1*(-10+0.9*I126)</f>
        <v/>
      </c>
      <c r="I127" s="9" t="n">
        <v>0</v>
      </c>
      <c r="J127" s="29">
        <f>MAX(ABS(G127-G126),ABS(H127-H126))</f>
        <v/>
      </c>
      <c r="K127" s="29">
        <f>MAX(ABS(B127-G127),ABS(C127-H127))</f>
        <v/>
      </c>
    </row>
    <row r="128">
      <c r="A128" s="9" t="n">
        <v>5</v>
      </c>
      <c r="B128" s="29">
        <f>0.5*(2+0.9*B127)+0.5*(2+0.9*C127)</f>
        <v/>
      </c>
      <c r="C128" s="29">
        <f>1*(-10+0.9*D127)</f>
        <v/>
      </c>
      <c r="D128" s="9" t="n">
        <v>0</v>
      </c>
      <c r="E128" s="29">
        <f>MAX(ABS(B128-B127),ABS(C128-C127))</f>
        <v/>
      </c>
      <c r="F128" s="9" t="inlineStr"/>
      <c r="G128" s="29">
        <f>0.5*(2+0.9*G127)+0.5*(2+0.9*H127)</f>
        <v/>
      </c>
      <c r="H128" s="29">
        <f>1*(-10+0.9*I127)</f>
        <v/>
      </c>
      <c r="I128" s="9" t="n">
        <v>0</v>
      </c>
      <c r="J128" s="29">
        <f>MAX(ABS(G128-G127),ABS(H128-H127))</f>
        <v/>
      </c>
      <c r="K128" s="29">
        <f>MAX(ABS(B128-G128),ABS(C128-H128))</f>
        <v/>
      </c>
    </row>
    <row r="129">
      <c r="A129" s="9" t="n">
        <v>6</v>
      </c>
      <c r="B129" s="29">
        <f>0.5*(2+0.9*B128)+0.5*(2+0.9*C128)</f>
        <v/>
      </c>
      <c r="C129" s="29">
        <f>1*(-10+0.9*D128)</f>
        <v/>
      </c>
      <c r="D129" s="9" t="n">
        <v>0</v>
      </c>
      <c r="E129" s="29">
        <f>MAX(ABS(B129-B128),ABS(C129-C128))</f>
        <v/>
      </c>
      <c r="F129" s="9" t="inlineStr"/>
      <c r="G129" s="29">
        <f>0.5*(2+0.9*G128)+0.5*(2+0.9*H128)</f>
        <v/>
      </c>
      <c r="H129" s="29">
        <f>1*(-10+0.9*I128)</f>
        <v/>
      </c>
      <c r="I129" s="9" t="n">
        <v>0</v>
      </c>
      <c r="J129" s="29">
        <f>MAX(ABS(G129-G128),ABS(H129-H128))</f>
        <v/>
      </c>
      <c r="K129" s="29">
        <f>MAX(ABS(B129-G129),ABS(C129-H129))</f>
        <v/>
      </c>
    </row>
    <row r="130">
      <c r="A130" s="9" t="n">
        <v>7</v>
      </c>
      <c r="B130" s="29">
        <f>0.5*(2+0.9*B129)+0.5*(2+0.9*C129)</f>
        <v/>
      </c>
      <c r="C130" s="29">
        <f>1*(-10+0.9*D129)</f>
        <v/>
      </c>
      <c r="D130" s="9" t="n">
        <v>0</v>
      </c>
      <c r="E130" s="29">
        <f>MAX(ABS(B130-B129),ABS(C130-C129))</f>
        <v/>
      </c>
      <c r="F130" s="9" t="inlineStr"/>
      <c r="G130" s="29">
        <f>0.5*(2+0.9*G129)+0.5*(2+0.9*H129)</f>
        <v/>
      </c>
      <c r="H130" s="29">
        <f>1*(-10+0.9*I129)</f>
        <v/>
      </c>
      <c r="I130" s="9" t="n">
        <v>0</v>
      </c>
      <c r="J130" s="29">
        <f>MAX(ABS(G130-G129),ABS(H130-H129))</f>
        <v/>
      </c>
      <c r="K130" s="29">
        <f>MAX(ABS(B130-G130),ABS(C130-H130))</f>
        <v/>
      </c>
    </row>
    <row r="131">
      <c r="A131" s="9" t="n">
        <v>8</v>
      </c>
      <c r="B131" s="29">
        <f>0.5*(2+0.9*B130)+0.5*(2+0.9*C130)</f>
        <v/>
      </c>
      <c r="C131" s="29">
        <f>1*(-10+0.9*D130)</f>
        <v/>
      </c>
      <c r="D131" s="9" t="n">
        <v>0</v>
      </c>
      <c r="E131" s="29">
        <f>MAX(ABS(B131-B130),ABS(C131-C130))</f>
        <v/>
      </c>
      <c r="F131" s="9" t="inlineStr"/>
      <c r="G131" s="29">
        <f>0.5*(2+0.9*G130)+0.5*(2+0.9*H130)</f>
        <v/>
      </c>
      <c r="H131" s="29">
        <f>1*(-10+0.9*I130)</f>
        <v/>
      </c>
      <c r="I131" s="9" t="n">
        <v>0</v>
      </c>
      <c r="J131" s="29">
        <f>MAX(ABS(G131-G130),ABS(H131-H130))</f>
        <v/>
      </c>
      <c r="K131" s="29">
        <f>MAX(ABS(B131-G131),ABS(C131-H131))</f>
        <v/>
      </c>
    </row>
    <row r="132">
      <c r="A132" s="9" t="n">
        <v>9</v>
      </c>
      <c r="B132" s="29">
        <f>0.5*(2+0.9*B131)+0.5*(2+0.9*C131)</f>
        <v/>
      </c>
      <c r="C132" s="29">
        <f>1*(-10+0.9*D131)</f>
        <v/>
      </c>
      <c r="D132" s="9" t="n">
        <v>0</v>
      </c>
      <c r="E132" s="29">
        <f>MAX(ABS(B132-B131),ABS(C132-C131))</f>
        <v/>
      </c>
      <c r="F132" s="9" t="inlineStr"/>
      <c r="G132" s="29">
        <f>0.5*(2+0.9*G131)+0.5*(2+0.9*H131)</f>
        <v/>
      </c>
      <c r="H132" s="29">
        <f>1*(-10+0.9*I131)</f>
        <v/>
      </c>
      <c r="I132" s="9" t="n">
        <v>0</v>
      </c>
      <c r="J132" s="29">
        <f>MAX(ABS(G132-G131),ABS(H132-H131))</f>
        <v/>
      </c>
      <c r="K132" s="29">
        <f>MAX(ABS(B132-G132),ABS(C132-H132))</f>
        <v/>
      </c>
    </row>
    <row r="133">
      <c r="A133" s="9" t="n">
        <v>10</v>
      </c>
      <c r="B133" s="29">
        <f>0.5*(2+0.9*B132)+0.5*(2+0.9*C132)</f>
        <v/>
      </c>
      <c r="C133" s="29">
        <f>1*(-10+0.9*D132)</f>
        <v/>
      </c>
      <c r="D133" s="9" t="n">
        <v>0</v>
      </c>
      <c r="E133" s="29">
        <f>MAX(ABS(B133-B132),ABS(C133-C132))</f>
        <v/>
      </c>
      <c r="F133" s="9" t="inlineStr"/>
      <c r="G133" s="29">
        <f>0.5*(2+0.9*G132)+0.5*(2+0.9*H132)</f>
        <v/>
      </c>
      <c r="H133" s="29">
        <f>1*(-10+0.9*I132)</f>
        <v/>
      </c>
      <c r="I133" s="9" t="n">
        <v>0</v>
      </c>
      <c r="J133" s="29">
        <f>MAX(ABS(G133-G132),ABS(H133-H132))</f>
        <v/>
      </c>
      <c r="K133" s="29">
        <f>MAX(ABS(B133-G133),ABS(C133-H133))</f>
        <v/>
      </c>
    </row>
    <row r="134">
      <c r="A134" s="9" t="n">
        <v>11</v>
      </c>
      <c r="B134" s="29">
        <f>0.5*(2+0.9*B133)+0.5*(2+0.9*C133)</f>
        <v/>
      </c>
      <c r="C134" s="29">
        <f>1*(-10+0.9*D133)</f>
        <v/>
      </c>
      <c r="D134" s="9" t="n">
        <v>0</v>
      </c>
      <c r="E134" s="29">
        <f>MAX(ABS(B134-B133),ABS(C134-C133))</f>
        <v/>
      </c>
      <c r="F134" s="9" t="inlineStr"/>
      <c r="G134" s="29">
        <f>0.5*(2+0.9*G133)+0.5*(2+0.9*H133)</f>
        <v/>
      </c>
      <c r="H134" s="29">
        <f>1*(-10+0.9*I133)</f>
        <v/>
      </c>
      <c r="I134" s="9" t="n">
        <v>0</v>
      </c>
      <c r="J134" s="29">
        <f>MAX(ABS(G134-G133),ABS(H134-H133))</f>
        <v/>
      </c>
      <c r="K134" s="29">
        <f>MAX(ABS(B134-G134),ABS(C134-H134))</f>
        <v/>
      </c>
    </row>
    <row r="135">
      <c r="A135" s="9" t="n">
        <v>12</v>
      </c>
      <c r="B135" s="29">
        <f>0.5*(2+0.9*B134)+0.5*(2+0.9*C134)</f>
        <v/>
      </c>
      <c r="C135" s="29">
        <f>1*(-10+0.9*D134)</f>
        <v/>
      </c>
      <c r="D135" s="9" t="n">
        <v>0</v>
      </c>
      <c r="E135" s="29">
        <f>MAX(ABS(B135-B134),ABS(C135-C134))</f>
        <v/>
      </c>
      <c r="F135" s="9" t="inlineStr"/>
      <c r="G135" s="29">
        <f>0.5*(2+0.9*G134)+0.5*(2+0.9*H134)</f>
        <v/>
      </c>
      <c r="H135" s="29">
        <f>1*(-10+0.9*I134)</f>
        <v/>
      </c>
      <c r="I135" s="9" t="n">
        <v>0</v>
      </c>
      <c r="J135" s="29">
        <f>MAX(ABS(G135-G134),ABS(H135-H134))</f>
        <v/>
      </c>
      <c r="K135" s="29">
        <f>MAX(ABS(B135-G135),ABS(C135-H135))</f>
        <v/>
      </c>
    </row>
    <row r="136">
      <c r="A136" s="9" t="n">
        <v>13</v>
      </c>
      <c r="B136" s="29">
        <f>0.5*(2+0.9*B135)+0.5*(2+0.9*C135)</f>
        <v/>
      </c>
      <c r="C136" s="29">
        <f>1*(-10+0.9*D135)</f>
        <v/>
      </c>
      <c r="D136" s="9" t="n">
        <v>0</v>
      </c>
      <c r="E136" s="29">
        <f>MAX(ABS(B136-B135),ABS(C136-C135))</f>
        <v/>
      </c>
      <c r="F136" s="9" t="inlineStr"/>
      <c r="G136" s="29">
        <f>0.5*(2+0.9*G135)+0.5*(2+0.9*H135)</f>
        <v/>
      </c>
      <c r="H136" s="29">
        <f>1*(-10+0.9*I135)</f>
        <v/>
      </c>
      <c r="I136" s="9" t="n">
        <v>0</v>
      </c>
      <c r="J136" s="29">
        <f>MAX(ABS(G136-G135),ABS(H136-H135))</f>
        <v/>
      </c>
      <c r="K136" s="29">
        <f>MAX(ABS(B136-G136),ABS(C136-H136))</f>
        <v/>
      </c>
    </row>
    <row r="137">
      <c r="A137" s="9" t="n">
        <v>14</v>
      </c>
      <c r="B137" s="29">
        <f>0.5*(2+0.9*B136)+0.5*(2+0.9*C136)</f>
        <v/>
      </c>
      <c r="C137" s="29">
        <f>1*(-10+0.9*D136)</f>
        <v/>
      </c>
      <c r="D137" s="9" t="n">
        <v>0</v>
      </c>
      <c r="E137" s="29">
        <f>MAX(ABS(B137-B136),ABS(C137-C136))</f>
        <v/>
      </c>
      <c r="F137" s="9" t="inlineStr"/>
      <c r="G137" s="29">
        <f>0.5*(2+0.9*G136)+0.5*(2+0.9*H136)</f>
        <v/>
      </c>
      <c r="H137" s="29">
        <f>1*(-10+0.9*I136)</f>
        <v/>
      </c>
      <c r="I137" s="9" t="n">
        <v>0</v>
      </c>
      <c r="J137" s="29">
        <f>MAX(ABS(G137-G136),ABS(H137-H136))</f>
        <v/>
      </c>
      <c r="K137" s="29">
        <f>MAX(ABS(B137-G137),ABS(C137-H137))</f>
        <v/>
      </c>
    </row>
    <row r="138">
      <c r="A138" s="9" t="n">
        <v>15</v>
      </c>
      <c r="B138" s="29">
        <f>0.5*(2+0.9*B137)+0.5*(2+0.9*C137)</f>
        <v/>
      </c>
      <c r="C138" s="29">
        <f>1*(-10+0.9*D137)</f>
        <v/>
      </c>
      <c r="D138" s="9" t="n">
        <v>0</v>
      </c>
      <c r="E138" s="29">
        <f>MAX(ABS(B138-B137),ABS(C138-C137))</f>
        <v/>
      </c>
      <c r="F138" s="9" t="inlineStr"/>
      <c r="G138" s="29">
        <f>0.5*(2+0.9*G137)+0.5*(2+0.9*H137)</f>
        <v/>
      </c>
      <c r="H138" s="29">
        <f>1*(-10+0.9*I137)</f>
        <v/>
      </c>
      <c r="I138" s="9" t="n">
        <v>0</v>
      </c>
      <c r="J138" s="29">
        <f>MAX(ABS(G138-G137),ABS(H138-H137))</f>
        <v/>
      </c>
      <c r="K138" s="29">
        <f>MAX(ABS(B138-G138),ABS(C138-H138))</f>
        <v/>
      </c>
    </row>
    <row r="139">
      <c r="A139" s="9" t="n">
        <v>16</v>
      </c>
      <c r="B139" s="29">
        <f>0.5*(2+0.9*B138)+0.5*(2+0.9*C138)</f>
        <v/>
      </c>
      <c r="C139" s="29">
        <f>1*(-10+0.9*D138)</f>
        <v/>
      </c>
      <c r="D139" s="9" t="n">
        <v>0</v>
      </c>
      <c r="E139" s="29">
        <f>MAX(ABS(B139-B138),ABS(C139-C138))</f>
        <v/>
      </c>
      <c r="F139" s="9" t="inlineStr"/>
      <c r="G139" s="29">
        <f>0.5*(2+0.9*G138)+0.5*(2+0.9*H138)</f>
        <v/>
      </c>
      <c r="H139" s="29">
        <f>1*(-10+0.9*I138)</f>
        <v/>
      </c>
      <c r="I139" s="9" t="n">
        <v>0</v>
      </c>
      <c r="J139" s="29">
        <f>MAX(ABS(G139-G138),ABS(H139-H138))</f>
        <v/>
      </c>
      <c r="K139" s="29">
        <f>MAX(ABS(B139-G139),ABS(C139-H139))</f>
        <v/>
      </c>
    </row>
    <row r="140">
      <c r="A140" s="9" t="n">
        <v>17</v>
      </c>
      <c r="B140" s="29">
        <f>0.5*(2+0.9*B139)+0.5*(2+0.9*C139)</f>
        <v/>
      </c>
      <c r="C140" s="29">
        <f>1*(-10+0.9*D139)</f>
        <v/>
      </c>
      <c r="D140" s="9" t="n">
        <v>0</v>
      </c>
      <c r="E140" s="29">
        <f>MAX(ABS(B140-B139),ABS(C140-C139))</f>
        <v/>
      </c>
      <c r="F140" s="9" t="inlineStr"/>
      <c r="G140" s="29">
        <f>0.5*(2+0.9*G139)+0.5*(2+0.9*H139)</f>
        <v/>
      </c>
      <c r="H140" s="29">
        <f>1*(-10+0.9*I139)</f>
        <v/>
      </c>
      <c r="I140" s="9" t="n">
        <v>0</v>
      </c>
      <c r="J140" s="29">
        <f>MAX(ABS(G140-G139),ABS(H140-H139))</f>
        <v/>
      </c>
      <c r="K140" s="29">
        <f>MAX(ABS(B140-G140),ABS(C140-H140))</f>
        <v/>
      </c>
    </row>
    <row r="141">
      <c r="A141" s="9" t="n">
        <v>18</v>
      </c>
      <c r="B141" s="29">
        <f>0.5*(2+0.9*B140)+0.5*(2+0.9*C140)</f>
        <v/>
      </c>
      <c r="C141" s="29">
        <f>1*(-10+0.9*D140)</f>
        <v/>
      </c>
      <c r="D141" s="9" t="n">
        <v>0</v>
      </c>
      <c r="E141" s="29">
        <f>MAX(ABS(B141-B140),ABS(C141-C140))</f>
        <v/>
      </c>
      <c r="F141" s="9" t="inlineStr"/>
      <c r="G141" s="29">
        <f>0.5*(2+0.9*G140)+0.5*(2+0.9*H140)</f>
        <v/>
      </c>
      <c r="H141" s="29">
        <f>1*(-10+0.9*I140)</f>
        <v/>
      </c>
      <c r="I141" s="9" t="n">
        <v>0</v>
      </c>
      <c r="J141" s="29">
        <f>MAX(ABS(G141-G140),ABS(H141-H140))</f>
        <v/>
      </c>
      <c r="K141" s="29">
        <f>MAX(ABS(B141-G141),ABS(C141-H141))</f>
        <v/>
      </c>
    </row>
    <row r="142">
      <c r="A142" s="9" t="n">
        <v>19</v>
      </c>
      <c r="B142" s="29">
        <f>0.5*(2+0.9*B141)+0.5*(2+0.9*C141)</f>
        <v/>
      </c>
      <c r="C142" s="29">
        <f>1*(-10+0.9*D141)</f>
        <v/>
      </c>
      <c r="D142" s="9" t="n">
        <v>0</v>
      </c>
      <c r="E142" s="29">
        <f>MAX(ABS(B142-B141),ABS(C142-C141))</f>
        <v/>
      </c>
      <c r="F142" s="9" t="inlineStr"/>
      <c r="G142" s="29">
        <f>0.5*(2+0.9*G141)+0.5*(2+0.9*H141)</f>
        <v/>
      </c>
      <c r="H142" s="29">
        <f>1*(-10+0.9*I141)</f>
        <v/>
      </c>
      <c r="I142" s="9" t="n">
        <v>0</v>
      </c>
      <c r="J142" s="29">
        <f>MAX(ABS(G142-G141),ABS(H142-H141))</f>
        <v/>
      </c>
      <c r="K142" s="29">
        <f>MAX(ABS(B142-G142),ABS(C142-H142))</f>
        <v/>
      </c>
    </row>
    <row r="143">
      <c r="A143" s="9" t="n">
        <v>20</v>
      </c>
      <c r="B143" s="29">
        <f>0.5*(2+0.9*B142)+0.5*(2+0.9*C142)</f>
        <v/>
      </c>
      <c r="C143" s="29">
        <f>1*(-10+0.9*D142)</f>
        <v/>
      </c>
      <c r="D143" s="9" t="n">
        <v>0</v>
      </c>
      <c r="E143" s="29">
        <f>MAX(ABS(B143-B142),ABS(C143-C142))</f>
        <v/>
      </c>
      <c r="F143" s="9" t="inlineStr"/>
      <c r="G143" s="29">
        <f>0.5*(2+0.9*G142)+0.5*(2+0.9*H142)</f>
        <v/>
      </c>
      <c r="H143" s="29">
        <f>1*(-10+0.9*I142)</f>
        <v/>
      </c>
      <c r="I143" s="9" t="n">
        <v>0</v>
      </c>
      <c r="J143" s="29">
        <f>MAX(ABS(G143-G142),ABS(H143-H142))</f>
        <v/>
      </c>
      <c r="K143" s="29">
        <f>MAX(ABS(B143-G143),ABS(C143-H143))</f>
        <v/>
      </c>
    </row>
    <row r="144">
      <c r="A144" s="9" t="n">
        <v>21</v>
      </c>
      <c r="B144" s="29">
        <f>0.5*(2+0.9*B143)+0.5*(2+0.9*C143)</f>
        <v/>
      </c>
      <c r="C144" s="29">
        <f>1*(-10+0.9*D143)</f>
        <v/>
      </c>
      <c r="D144" s="9" t="n">
        <v>0</v>
      </c>
      <c r="E144" s="29">
        <f>MAX(ABS(B144-B143),ABS(C144-C143))</f>
        <v/>
      </c>
      <c r="F144" s="9" t="inlineStr"/>
      <c r="G144" s="29">
        <f>0.5*(2+0.9*G143)+0.5*(2+0.9*H143)</f>
        <v/>
      </c>
      <c r="H144" s="29">
        <f>1*(-10+0.9*I143)</f>
        <v/>
      </c>
      <c r="I144" s="9" t="n">
        <v>0</v>
      </c>
      <c r="J144" s="29">
        <f>MAX(ABS(G144-G143),ABS(H144-H143))</f>
        <v/>
      </c>
      <c r="K144" s="29">
        <f>MAX(ABS(B144-G144),ABS(C144-H144))</f>
        <v/>
      </c>
    </row>
    <row r="145">
      <c r="A145" s="9" t="n">
        <v>22</v>
      </c>
      <c r="B145" s="29">
        <f>0.5*(2+0.9*B144)+0.5*(2+0.9*C144)</f>
        <v/>
      </c>
      <c r="C145" s="29">
        <f>1*(-10+0.9*D144)</f>
        <v/>
      </c>
      <c r="D145" s="9" t="n">
        <v>0</v>
      </c>
      <c r="E145" s="29">
        <f>MAX(ABS(B145-B144),ABS(C145-C144))</f>
        <v/>
      </c>
      <c r="F145" s="9" t="inlineStr"/>
      <c r="G145" s="29">
        <f>0.5*(2+0.9*G144)+0.5*(2+0.9*H144)</f>
        <v/>
      </c>
      <c r="H145" s="29">
        <f>1*(-10+0.9*I144)</f>
        <v/>
      </c>
      <c r="I145" s="9" t="n">
        <v>0</v>
      </c>
      <c r="J145" s="29">
        <f>MAX(ABS(G145-G144),ABS(H145-H144))</f>
        <v/>
      </c>
      <c r="K145" s="29">
        <f>MAX(ABS(B145-G145),ABS(C145-H145))</f>
        <v/>
      </c>
    </row>
    <row r="146">
      <c r="A146" s="9" t="n">
        <v>23</v>
      </c>
      <c r="B146" s="29">
        <f>0.5*(2+0.9*B145)+0.5*(2+0.9*C145)</f>
        <v/>
      </c>
      <c r="C146" s="29">
        <f>1*(-10+0.9*D145)</f>
        <v/>
      </c>
      <c r="D146" s="9" t="n">
        <v>0</v>
      </c>
      <c r="E146" s="29">
        <f>MAX(ABS(B146-B145),ABS(C146-C145))</f>
        <v/>
      </c>
      <c r="F146" s="9" t="inlineStr"/>
      <c r="G146" s="29">
        <f>0.5*(2+0.9*G145)+0.5*(2+0.9*H145)</f>
        <v/>
      </c>
      <c r="H146" s="29">
        <f>1*(-10+0.9*I145)</f>
        <v/>
      </c>
      <c r="I146" s="9" t="n">
        <v>0</v>
      </c>
      <c r="J146" s="29">
        <f>MAX(ABS(G146-G145),ABS(H146-H145))</f>
        <v/>
      </c>
      <c r="K146" s="29">
        <f>MAX(ABS(B146-G146),ABS(C146-H146))</f>
        <v/>
      </c>
    </row>
    <row r="147">
      <c r="A147" s="9" t="n">
        <v>24</v>
      </c>
      <c r="B147" s="29">
        <f>0.5*(2+0.9*B146)+0.5*(2+0.9*C146)</f>
        <v/>
      </c>
      <c r="C147" s="29">
        <f>1*(-10+0.9*D146)</f>
        <v/>
      </c>
      <c r="D147" s="9" t="n">
        <v>0</v>
      </c>
      <c r="E147" s="29">
        <f>MAX(ABS(B147-B146),ABS(C147-C146))</f>
        <v/>
      </c>
      <c r="F147" s="9" t="inlineStr"/>
      <c r="G147" s="29">
        <f>0.5*(2+0.9*G146)+0.5*(2+0.9*H146)</f>
        <v/>
      </c>
      <c r="H147" s="29">
        <f>1*(-10+0.9*I146)</f>
        <v/>
      </c>
      <c r="I147" s="9" t="n">
        <v>0</v>
      </c>
      <c r="J147" s="29">
        <f>MAX(ABS(G147-G146),ABS(H147-H146))</f>
        <v/>
      </c>
      <c r="K147" s="29">
        <f>MAX(ABS(B147-G147),ABS(C147-H147))</f>
        <v/>
      </c>
    </row>
    <row r="148">
      <c r="A148" s="9" t="n">
        <v>25</v>
      </c>
      <c r="B148" s="29">
        <f>0.5*(2+0.9*B147)+0.5*(2+0.9*C147)</f>
        <v/>
      </c>
      <c r="C148" s="29">
        <f>1*(-10+0.9*D147)</f>
        <v/>
      </c>
      <c r="D148" s="9" t="n">
        <v>0</v>
      </c>
      <c r="E148" s="29">
        <f>MAX(ABS(B148-B147),ABS(C148-C147))</f>
        <v/>
      </c>
      <c r="F148" s="9" t="inlineStr"/>
      <c r="G148" s="29">
        <f>0.5*(2+0.9*G147)+0.5*(2+0.9*H147)</f>
        <v/>
      </c>
      <c r="H148" s="29">
        <f>1*(-10+0.9*I147)</f>
        <v/>
      </c>
      <c r="I148" s="9" t="n">
        <v>0</v>
      </c>
      <c r="J148" s="29">
        <f>MAX(ABS(G148-G147),ABS(H148-H147))</f>
        <v/>
      </c>
      <c r="K148" s="29">
        <f>MAX(ABS(B148-G148),ABS(C148-H148))</f>
        <v/>
      </c>
    </row>
    <row r="149">
      <c r="A149" s="9" t="n">
        <v>26</v>
      </c>
      <c r="B149" s="29">
        <f>0.5*(2+0.9*B148)+0.5*(2+0.9*C148)</f>
        <v/>
      </c>
      <c r="C149" s="29">
        <f>1*(-10+0.9*D148)</f>
        <v/>
      </c>
      <c r="D149" s="9" t="n">
        <v>0</v>
      </c>
      <c r="E149" s="29">
        <f>MAX(ABS(B149-B148),ABS(C149-C148))</f>
        <v/>
      </c>
      <c r="F149" s="9" t="inlineStr"/>
      <c r="G149" s="29">
        <f>0.5*(2+0.9*G148)+0.5*(2+0.9*H148)</f>
        <v/>
      </c>
      <c r="H149" s="29">
        <f>1*(-10+0.9*I148)</f>
        <v/>
      </c>
      <c r="I149" s="9" t="n">
        <v>0</v>
      </c>
      <c r="J149" s="29">
        <f>MAX(ABS(G149-G148),ABS(H149-H148))</f>
        <v/>
      </c>
      <c r="K149" s="29">
        <f>MAX(ABS(B149-G149),ABS(C149-H149))</f>
        <v/>
      </c>
    </row>
    <row r="150">
      <c r="A150" s="9" t="n">
        <v>27</v>
      </c>
      <c r="B150" s="29">
        <f>0.5*(2+0.9*B149)+0.5*(2+0.9*C149)</f>
        <v/>
      </c>
      <c r="C150" s="29">
        <f>1*(-10+0.9*D149)</f>
        <v/>
      </c>
      <c r="D150" s="9" t="n">
        <v>0</v>
      </c>
      <c r="E150" s="29">
        <f>MAX(ABS(B150-B149),ABS(C150-C149))</f>
        <v/>
      </c>
      <c r="F150" s="9" t="inlineStr"/>
      <c r="G150" s="29">
        <f>0.5*(2+0.9*G149)+0.5*(2+0.9*H149)</f>
        <v/>
      </c>
      <c r="H150" s="29">
        <f>1*(-10+0.9*I149)</f>
        <v/>
      </c>
      <c r="I150" s="9" t="n">
        <v>0</v>
      </c>
      <c r="J150" s="29">
        <f>MAX(ABS(G150-G149),ABS(H150-H149))</f>
        <v/>
      </c>
      <c r="K150" s="29">
        <f>MAX(ABS(B150-G150),ABS(C150-H150))</f>
        <v/>
      </c>
    </row>
    <row r="151">
      <c r="A151" s="9" t="n">
        <v>28</v>
      </c>
      <c r="B151" s="29">
        <f>0.5*(2+0.9*B150)+0.5*(2+0.9*C150)</f>
        <v/>
      </c>
      <c r="C151" s="29">
        <f>1*(-10+0.9*D150)</f>
        <v/>
      </c>
      <c r="D151" s="9" t="n">
        <v>0</v>
      </c>
      <c r="E151" s="29">
        <f>MAX(ABS(B151-B150),ABS(C151-C150))</f>
        <v/>
      </c>
      <c r="F151" s="9" t="inlineStr"/>
      <c r="G151" s="29">
        <f>0.5*(2+0.9*G150)+0.5*(2+0.9*H150)</f>
        <v/>
      </c>
      <c r="H151" s="29">
        <f>1*(-10+0.9*I150)</f>
        <v/>
      </c>
      <c r="I151" s="9" t="n">
        <v>0</v>
      </c>
      <c r="J151" s="29">
        <f>MAX(ABS(G151-G150),ABS(H151-H150))</f>
        <v/>
      </c>
      <c r="K151" s="29">
        <f>MAX(ABS(B151-G151),ABS(C151-H151))</f>
        <v/>
      </c>
    </row>
    <row r="152">
      <c r="A152" s="9" t="n">
        <v>29</v>
      </c>
      <c r="B152" s="29">
        <f>0.5*(2+0.9*B151)+0.5*(2+0.9*C151)</f>
        <v/>
      </c>
      <c r="C152" s="29">
        <f>1*(-10+0.9*D151)</f>
        <v/>
      </c>
      <c r="D152" s="9" t="n">
        <v>0</v>
      </c>
      <c r="E152" s="29">
        <f>MAX(ABS(B152-B151),ABS(C152-C151))</f>
        <v/>
      </c>
      <c r="F152" s="9" t="inlineStr"/>
      <c r="G152" s="29">
        <f>0.5*(2+0.9*G151)+0.5*(2+0.9*H151)</f>
        <v/>
      </c>
      <c r="H152" s="29">
        <f>1*(-10+0.9*I151)</f>
        <v/>
      </c>
      <c r="I152" s="9" t="n">
        <v>0</v>
      </c>
      <c r="J152" s="29">
        <f>MAX(ABS(G152-G151),ABS(H152-H151))</f>
        <v/>
      </c>
      <c r="K152" s="29">
        <f>MAX(ABS(B152-G152),ABS(C152-H152))</f>
        <v/>
      </c>
    </row>
    <row r="153">
      <c r="A153" s="9" t="n">
        <v>30</v>
      </c>
      <c r="B153" s="29">
        <f>0.5*(2+0.9*B152)+0.5*(2+0.9*C152)</f>
        <v/>
      </c>
      <c r="C153" s="29">
        <f>1*(-10+0.9*D152)</f>
        <v/>
      </c>
      <c r="D153" s="9" t="n">
        <v>0</v>
      </c>
      <c r="E153" s="29">
        <f>MAX(ABS(B153-B152),ABS(C153-C152))</f>
        <v/>
      </c>
      <c r="F153" s="9" t="inlineStr"/>
      <c r="G153" s="29">
        <f>0.5*(2+0.9*G152)+0.5*(2+0.9*H152)</f>
        <v/>
      </c>
      <c r="H153" s="29">
        <f>1*(-10+0.9*I152)</f>
        <v/>
      </c>
      <c r="I153" s="9" t="n">
        <v>0</v>
      </c>
      <c r="J153" s="29">
        <f>MAX(ABS(G153-G152),ABS(H153-H152))</f>
        <v/>
      </c>
      <c r="K153" s="29">
        <f>MAX(ABS(B153-G153),ABS(C153-H153))</f>
        <v/>
      </c>
    </row>
    <row r="154">
      <c r="A154" s="9" t="n">
        <v>31</v>
      </c>
      <c r="B154" s="29">
        <f>0.5*(2+0.9*B153)+0.5*(2+0.9*C153)</f>
        <v/>
      </c>
      <c r="C154" s="29">
        <f>1*(-10+0.9*D153)</f>
        <v/>
      </c>
      <c r="D154" s="9" t="n">
        <v>0</v>
      </c>
      <c r="E154" s="29">
        <f>MAX(ABS(B154-B153),ABS(C154-C153))</f>
        <v/>
      </c>
      <c r="F154" s="9" t="inlineStr"/>
      <c r="G154" s="29">
        <f>0.5*(2+0.9*G153)+0.5*(2+0.9*H153)</f>
        <v/>
      </c>
      <c r="H154" s="29">
        <f>1*(-10+0.9*I153)</f>
        <v/>
      </c>
      <c r="I154" s="9" t="n">
        <v>0</v>
      </c>
      <c r="J154" s="29">
        <f>MAX(ABS(G154-G153),ABS(H154-H153))</f>
        <v/>
      </c>
      <c r="K154" s="29">
        <f>MAX(ABS(B154-G154),ABS(C154-H154))</f>
        <v/>
      </c>
    </row>
    <row r="155">
      <c r="A155" s="9" t="n">
        <v>32</v>
      </c>
      <c r="B155" s="29">
        <f>0.5*(2+0.9*B154)+0.5*(2+0.9*C154)</f>
        <v/>
      </c>
      <c r="C155" s="29">
        <f>1*(-10+0.9*D154)</f>
        <v/>
      </c>
      <c r="D155" s="9" t="n">
        <v>0</v>
      </c>
      <c r="E155" s="29">
        <f>MAX(ABS(B155-B154),ABS(C155-C154))</f>
        <v/>
      </c>
      <c r="F155" s="9" t="inlineStr"/>
      <c r="G155" s="29">
        <f>0.5*(2+0.9*G154)+0.5*(2+0.9*H154)</f>
        <v/>
      </c>
      <c r="H155" s="29">
        <f>1*(-10+0.9*I154)</f>
        <v/>
      </c>
      <c r="I155" s="9" t="n">
        <v>0</v>
      </c>
      <c r="J155" s="29">
        <f>MAX(ABS(G155-G154),ABS(H155-H154))</f>
        <v/>
      </c>
      <c r="K155" s="29">
        <f>MAX(ABS(B155-G155),ABS(C155-H155))</f>
        <v/>
      </c>
    </row>
    <row r="156">
      <c r="A156" s="9" t="n">
        <v>33</v>
      </c>
      <c r="B156" s="29">
        <f>0.5*(2+0.9*B155)+0.5*(2+0.9*C155)</f>
        <v/>
      </c>
      <c r="C156" s="29">
        <f>1*(-10+0.9*D155)</f>
        <v/>
      </c>
      <c r="D156" s="9" t="n">
        <v>0</v>
      </c>
      <c r="E156" s="29">
        <f>MAX(ABS(B156-B155),ABS(C156-C155))</f>
        <v/>
      </c>
      <c r="F156" s="9" t="inlineStr"/>
      <c r="G156" s="29">
        <f>0.5*(2+0.9*G155)+0.5*(2+0.9*H155)</f>
        <v/>
      </c>
      <c r="H156" s="29">
        <f>1*(-10+0.9*I155)</f>
        <v/>
      </c>
      <c r="I156" s="9" t="n">
        <v>0</v>
      </c>
      <c r="J156" s="29">
        <f>MAX(ABS(G156-G155),ABS(H156-H155))</f>
        <v/>
      </c>
      <c r="K156" s="29">
        <f>MAX(ABS(B156-G156),ABS(C156-H156))</f>
        <v/>
      </c>
    </row>
    <row r="157">
      <c r="A157" s="9" t="n">
        <v>34</v>
      </c>
      <c r="B157" s="29">
        <f>0.5*(2+0.9*B156)+0.5*(2+0.9*C156)</f>
        <v/>
      </c>
      <c r="C157" s="29">
        <f>1*(-10+0.9*D156)</f>
        <v/>
      </c>
      <c r="D157" s="9" t="n">
        <v>0</v>
      </c>
      <c r="E157" s="29">
        <f>MAX(ABS(B157-B156),ABS(C157-C156))</f>
        <v/>
      </c>
      <c r="F157" s="9" t="inlineStr"/>
      <c r="G157" s="29">
        <f>0.5*(2+0.9*G156)+0.5*(2+0.9*H156)</f>
        <v/>
      </c>
      <c r="H157" s="29">
        <f>1*(-10+0.9*I156)</f>
        <v/>
      </c>
      <c r="I157" s="9" t="n">
        <v>0</v>
      </c>
      <c r="J157" s="29">
        <f>MAX(ABS(G157-G156),ABS(H157-H156))</f>
        <v/>
      </c>
      <c r="K157" s="29">
        <f>MAX(ABS(B157-G157),ABS(C157-H157))</f>
        <v/>
      </c>
    </row>
    <row r="158">
      <c r="A158" s="9" t="n">
        <v>35</v>
      </c>
      <c r="B158" s="29">
        <f>0.5*(2+0.9*B157)+0.5*(2+0.9*C157)</f>
        <v/>
      </c>
      <c r="C158" s="29">
        <f>1*(-10+0.9*D157)</f>
        <v/>
      </c>
      <c r="D158" s="9" t="n">
        <v>0</v>
      </c>
      <c r="E158" s="29">
        <f>MAX(ABS(B158-B157),ABS(C158-C157))</f>
        <v/>
      </c>
      <c r="F158" s="9" t="inlineStr"/>
      <c r="G158" s="29">
        <f>0.5*(2+0.9*G157)+0.5*(2+0.9*H157)</f>
        <v/>
      </c>
      <c r="H158" s="29">
        <f>1*(-10+0.9*I157)</f>
        <v/>
      </c>
      <c r="I158" s="9" t="n">
        <v>0</v>
      </c>
      <c r="J158" s="29">
        <f>MAX(ABS(G158-G157),ABS(H158-H157))</f>
        <v/>
      </c>
      <c r="K158" s="29">
        <f>MAX(ABS(B158-G158),ABS(C158-H158))</f>
        <v/>
      </c>
    </row>
    <row r="159">
      <c r="A159" s="9" t="n">
        <v>36</v>
      </c>
      <c r="B159" s="29">
        <f>0.5*(2+0.9*B158)+0.5*(2+0.9*C158)</f>
        <v/>
      </c>
      <c r="C159" s="29">
        <f>1*(-10+0.9*D158)</f>
        <v/>
      </c>
      <c r="D159" s="9" t="n">
        <v>0</v>
      </c>
      <c r="E159" s="29">
        <f>MAX(ABS(B159-B158),ABS(C159-C158))</f>
        <v/>
      </c>
      <c r="F159" s="9" t="inlineStr"/>
      <c r="G159" s="29">
        <f>0.5*(2+0.9*G158)+0.5*(2+0.9*H158)</f>
        <v/>
      </c>
      <c r="H159" s="29">
        <f>1*(-10+0.9*I158)</f>
        <v/>
      </c>
      <c r="I159" s="9" t="n">
        <v>0</v>
      </c>
      <c r="J159" s="29">
        <f>MAX(ABS(G159-G158),ABS(H159-H158))</f>
        <v/>
      </c>
      <c r="K159" s="29">
        <f>MAX(ABS(B159-G159),ABS(C159-H159))</f>
        <v/>
      </c>
    </row>
    <row r="160">
      <c r="A160" s="9" t="n">
        <v>37</v>
      </c>
      <c r="B160" s="29">
        <f>0.5*(2+0.9*B159)+0.5*(2+0.9*C159)</f>
        <v/>
      </c>
      <c r="C160" s="29">
        <f>1*(-10+0.9*D159)</f>
        <v/>
      </c>
      <c r="D160" s="9" t="n">
        <v>0</v>
      </c>
      <c r="E160" s="29">
        <f>MAX(ABS(B160-B159),ABS(C160-C159))</f>
        <v/>
      </c>
      <c r="F160" s="9" t="inlineStr"/>
      <c r="G160" s="29">
        <f>0.5*(2+0.9*G159)+0.5*(2+0.9*H159)</f>
        <v/>
      </c>
      <c r="H160" s="29">
        <f>1*(-10+0.9*I159)</f>
        <v/>
      </c>
      <c r="I160" s="9" t="n">
        <v>0</v>
      </c>
      <c r="J160" s="29">
        <f>MAX(ABS(G160-G159),ABS(H160-H159))</f>
        <v/>
      </c>
      <c r="K160" s="29">
        <f>MAX(ABS(B160-G160),ABS(C160-H160))</f>
        <v/>
      </c>
    </row>
    <row r="161">
      <c r="A161" s="9" t="n">
        <v>38</v>
      </c>
      <c r="B161" s="29">
        <f>0.5*(2+0.9*B160)+0.5*(2+0.9*C160)</f>
        <v/>
      </c>
      <c r="C161" s="29">
        <f>1*(-10+0.9*D160)</f>
        <v/>
      </c>
      <c r="D161" s="9" t="n">
        <v>0</v>
      </c>
      <c r="E161" s="29">
        <f>MAX(ABS(B161-B160),ABS(C161-C160))</f>
        <v/>
      </c>
      <c r="F161" s="9" t="inlineStr"/>
      <c r="G161" s="29">
        <f>0.5*(2+0.9*G160)+0.5*(2+0.9*H160)</f>
        <v/>
      </c>
      <c r="H161" s="29">
        <f>1*(-10+0.9*I160)</f>
        <v/>
      </c>
      <c r="I161" s="9" t="n">
        <v>0</v>
      </c>
      <c r="J161" s="29">
        <f>MAX(ABS(G161-G160),ABS(H161-H160))</f>
        <v/>
      </c>
      <c r="K161" s="29">
        <f>MAX(ABS(B161-G161),ABS(C161-H161))</f>
        <v/>
      </c>
    </row>
    <row r="162">
      <c r="A162" s="9" t="n">
        <v>39</v>
      </c>
      <c r="B162" s="29">
        <f>0.5*(2+0.9*B161)+0.5*(2+0.9*C161)</f>
        <v/>
      </c>
      <c r="C162" s="29">
        <f>1*(-10+0.9*D161)</f>
        <v/>
      </c>
      <c r="D162" s="9" t="n">
        <v>0</v>
      </c>
      <c r="E162" s="29">
        <f>MAX(ABS(B162-B161),ABS(C162-C161))</f>
        <v/>
      </c>
      <c r="F162" s="9" t="inlineStr"/>
      <c r="G162" s="29">
        <f>0.5*(2+0.9*G161)+0.5*(2+0.9*H161)</f>
        <v/>
      </c>
      <c r="H162" s="29">
        <f>1*(-10+0.9*I161)</f>
        <v/>
      </c>
      <c r="I162" s="9" t="n">
        <v>0</v>
      </c>
      <c r="J162" s="29">
        <f>MAX(ABS(G162-G161),ABS(H162-H161))</f>
        <v/>
      </c>
      <c r="K162" s="29">
        <f>MAX(ABS(B162-G162),ABS(C162-H162))</f>
        <v/>
      </c>
    </row>
    <row r="163">
      <c r="A163" s="9" t="n">
        <v>40</v>
      </c>
      <c r="B163" s="29">
        <f>0.5*(2+0.9*B162)+0.5*(2+0.9*C162)</f>
        <v/>
      </c>
      <c r="C163" s="29">
        <f>1*(-10+0.9*D162)</f>
        <v/>
      </c>
      <c r="D163" s="9" t="n">
        <v>0</v>
      </c>
      <c r="E163" s="29">
        <f>MAX(ABS(B163-B162),ABS(C163-C162))</f>
        <v/>
      </c>
      <c r="F163" s="9" t="inlineStr"/>
      <c r="G163" s="29">
        <f>0.5*(2+0.9*G162)+0.5*(2+0.9*H162)</f>
        <v/>
      </c>
      <c r="H163" s="29">
        <f>1*(-10+0.9*I162)</f>
        <v/>
      </c>
      <c r="I163" s="9" t="n">
        <v>0</v>
      </c>
      <c r="J163" s="29">
        <f>MAX(ABS(G163-G162),ABS(H163-H162))</f>
        <v/>
      </c>
      <c r="K163" s="29">
        <f>MAX(ABS(B163-G163),ABS(C163-H163))</f>
        <v/>
      </c>
    </row>
    <row r="164">
      <c r="A164" s="9" t="n">
        <v>41</v>
      </c>
      <c r="B164" s="29">
        <f>0.5*(2+0.9*B163)+0.5*(2+0.9*C163)</f>
        <v/>
      </c>
      <c r="C164" s="29">
        <f>1*(-10+0.9*D163)</f>
        <v/>
      </c>
      <c r="D164" s="9" t="n">
        <v>0</v>
      </c>
      <c r="E164" s="29">
        <f>MAX(ABS(B164-B163),ABS(C164-C163))</f>
        <v/>
      </c>
      <c r="F164" s="9" t="inlineStr"/>
      <c r="G164" s="29">
        <f>0.5*(2+0.9*G163)+0.5*(2+0.9*H163)</f>
        <v/>
      </c>
      <c r="H164" s="29">
        <f>1*(-10+0.9*I163)</f>
        <v/>
      </c>
      <c r="I164" s="9" t="n">
        <v>0</v>
      </c>
      <c r="J164" s="29">
        <f>MAX(ABS(G164-G163),ABS(H164-H163))</f>
        <v/>
      </c>
      <c r="K164" s="29">
        <f>MAX(ABS(B164-G164),ABS(C164-H164))</f>
        <v/>
      </c>
    </row>
    <row r="165">
      <c r="A165" s="9" t="n">
        <v>42</v>
      </c>
      <c r="B165" s="29">
        <f>0.5*(2+0.9*B164)+0.5*(2+0.9*C164)</f>
        <v/>
      </c>
      <c r="C165" s="29">
        <f>1*(-10+0.9*D164)</f>
        <v/>
      </c>
      <c r="D165" s="9" t="n">
        <v>0</v>
      </c>
      <c r="E165" s="29">
        <f>MAX(ABS(B165-B164),ABS(C165-C164))</f>
        <v/>
      </c>
      <c r="F165" s="9" t="inlineStr"/>
      <c r="G165" s="29">
        <f>0.5*(2+0.9*G164)+0.5*(2+0.9*H164)</f>
        <v/>
      </c>
      <c r="H165" s="29">
        <f>1*(-10+0.9*I164)</f>
        <v/>
      </c>
      <c r="I165" s="9" t="n">
        <v>0</v>
      </c>
      <c r="J165" s="29">
        <f>MAX(ABS(G165-G164),ABS(H165-H164))</f>
        <v/>
      </c>
      <c r="K165" s="29">
        <f>MAX(ABS(B165-G165),ABS(C165-H165))</f>
        <v/>
      </c>
    </row>
    <row r="166">
      <c r="A166" s="9" t="n">
        <v>43</v>
      </c>
      <c r="B166" s="29">
        <f>0.5*(2+0.9*B165)+0.5*(2+0.9*C165)</f>
        <v/>
      </c>
      <c r="C166" s="29">
        <f>1*(-10+0.9*D165)</f>
        <v/>
      </c>
      <c r="D166" s="9" t="n">
        <v>0</v>
      </c>
      <c r="E166" s="29">
        <f>MAX(ABS(B166-B165),ABS(C166-C165))</f>
        <v/>
      </c>
      <c r="F166" s="9" t="inlineStr"/>
      <c r="G166" s="29">
        <f>0.5*(2+0.9*G165)+0.5*(2+0.9*H165)</f>
        <v/>
      </c>
      <c r="H166" s="29">
        <f>1*(-10+0.9*I165)</f>
        <v/>
      </c>
      <c r="I166" s="9" t="n">
        <v>0</v>
      </c>
      <c r="J166" s="29">
        <f>MAX(ABS(G166-G165),ABS(H166-H165))</f>
        <v/>
      </c>
      <c r="K166" s="29">
        <f>MAX(ABS(B166-G166),ABS(C166-H166))</f>
        <v/>
      </c>
    </row>
    <row r="167">
      <c r="A167" s="9" t="n">
        <v>44</v>
      </c>
      <c r="B167" s="29">
        <f>0.5*(2+0.9*B166)+0.5*(2+0.9*C166)</f>
        <v/>
      </c>
      <c r="C167" s="29">
        <f>1*(-10+0.9*D166)</f>
        <v/>
      </c>
      <c r="D167" s="9" t="n">
        <v>0</v>
      </c>
      <c r="E167" s="29">
        <f>MAX(ABS(B167-B166),ABS(C167-C166))</f>
        <v/>
      </c>
      <c r="F167" s="9" t="inlineStr"/>
      <c r="G167" s="29">
        <f>0.5*(2+0.9*G166)+0.5*(2+0.9*H166)</f>
        <v/>
      </c>
      <c r="H167" s="29">
        <f>1*(-10+0.9*I166)</f>
        <v/>
      </c>
      <c r="I167" s="9" t="n">
        <v>0</v>
      </c>
      <c r="J167" s="29">
        <f>MAX(ABS(G167-G166),ABS(H167-H166))</f>
        <v/>
      </c>
      <c r="K167" s="29">
        <f>MAX(ABS(B167-G167),ABS(C167-H167))</f>
        <v/>
      </c>
    </row>
    <row r="168">
      <c r="A168" s="9" t="n">
        <v>45</v>
      </c>
      <c r="B168" s="29">
        <f>0.5*(2+0.9*B167)+0.5*(2+0.9*C167)</f>
        <v/>
      </c>
      <c r="C168" s="29">
        <f>1*(-10+0.9*D167)</f>
        <v/>
      </c>
      <c r="D168" s="9" t="n">
        <v>0</v>
      </c>
      <c r="E168" s="29">
        <f>MAX(ABS(B168-B167),ABS(C168-C167))</f>
        <v/>
      </c>
      <c r="F168" s="9" t="inlineStr"/>
      <c r="G168" s="29">
        <f>0.5*(2+0.9*G167)+0.5*(2+0.9*H167)</f>
        <v/>
      </c>
      <c r="H168" s="29">
        <f>1*(-10+0.9*I167)</f>
        <v/>
      </c>
      <c r="I168" s="9" t="n">
        <v>0</v>
      </c>
      <c r="J168" s="29">
        <f>MAX(ABS(G168-G167),ABS(H168-H167))</f>
        <v/>
      </c>
      <c r="K168" s="29">
        <f>MAX(ABS(B168-G168),ABS(C168-H168))</f>
        <v/>
      </c>
    </row>
    <row r="169">
      <c r="A169" s="9" t="n">
        <v>46</v>
      </c>
      <c r="B169" s="29">
        <f>0.5*(2+0.9*B168)+0.5*(2+0.9*C168)</f>
        <v/>
      </c>
      <c r="C169" s="29">
        <f>1*(-10+0.9*D168)</f>
        <v/>
      </c>
      <c r="D169" s="9" t="n">
        <v>0</v>
      </c>
      <c r="E169" s="29">
        <f>MAX(ABS(B169-B168),ABS(C169-C168))</f>
        <v/>
      </c>
      <c r="F169" s="9" t="inlineStr"/>
      <c r="G169" s="29">
        <f>0.5*(2+0.9*G168)+0.5*(2+0.9*H168)</f>
        <v/>
      </c>
      <c r="H169" s="29">
        <f>1*(-10+0.9*I168)</f>
        <v/>
      </c>
      <c r="I169" s="9" t="n">
        <v>0</v>
      </c>
      <c r="J169" s="29">
        <f>MAX(ABS(G169-G168),ABS(H169-H168))</f>
        <v/>
      </c>
      <c r="K169" s="29">
        <f>MAX(ABS(B169-G169),ABS(C169-H169))</f>
        <v/>
      </c>
    </row>
    <row r="170">
      <c r="A170" s="9" t="n">
        <v>47</v>
      </c>
      <c r="B170" s="29">
        <f>0.5*(2+0.9*B169)+0.5*(2+0.9*C169)</f>
        <v/>
      </c>
      <c r="C170" s="29">
        <f>1*(-10+0.9*D169)</f>
        <v/>
      </c>
      <c r="D170" s="9" t="n">
        <v>0</v>
      </c>
      <c r="E170" s="29">
        <f>MAX(ABS(B170-B169),ABS(C170-C169))</f>
        <v/>
      </c>
      <c r="F170" s="9" t="inlineStr"/>
      <c r="G170" s="29">
        <f>0.5*(2+0.9*G169)+0.5*(2+0.9*H169)</f>
        <v/>
      </c>
      <c r="H170" s="29">
        <f>1*(-10+0.9*I169)</f>
        <v/>
      </c>
      <c r="I170" s="9" t="n">
        <v>0</v>
      </c>
      <c r="J170" s="29">
        <f>MAX(ABS(G170-G169),ABS(H170-H169))</f>
        <v/>
      </c>
      <c r="K170" s="29">
        <f>MAX(ABS(B170-G170),ABS(C170-H170))</f>
        <v/>
      </c>
    </row>
    <row r="171">
      <c r="A171" s="9" t="n">
        <v>48</v>
      </c>
      <c r="B171" s="29">
        <f>0.5*(2+0.9*B170)+0.5*(2+0.9*C170)</f>
        <v/>
      </c>
      <c r="C171" s="29">
        <f>1*(-10+0.9*D170)</f>
        <v/>
      </c>
      <c r="D171" s="9" t="n">
        <v>0</v>
      </c>
      <c r="E171" s="29">
        <f>MAX(ABS(B171-B170),ABS(C171-C170))</f>
        <v/>
      </c>
      <c r="F171" s="9" t="inlineStr"/>
      <c r="G171" s="29">
        <f>0.5*(2+0.9*G170)+0.5*(2+0.9*H170)</f>
        <v/>
      </c>
      <c r="H171" s="29">
        <f>1*(-10+0.9*I170)</f>
        <v/>
      </c>
      <c r="I171" s="9" t="n">
        <v>0</v>
      </c>
      <c r="J171" s="29">
        <f>MAX(ABS(G171-G170),ABS(H171-H170))</f>
        <v/>
      </c>
      <c r="K171" s="29">
        <f>MAX(ABS(B171-G171),ABS(C171-H171))</f>
        <v/>
      </c>
    </row>
    <row r="172">
      <c r="A172" s="9" t="n">
        <v>49</v>
      </c>
      <c r="B172" s="29">
        <f>0.5*(2+0.9*B171)+0.5*(2+0.9*C171)</f>
        <v/>
      </c>
      <c r="C172" s="29">
        <f>1*(-10+0.9*D171)</f>
        <v/>
      </c>
      <c r="D172" s="9" t="n">
        <v>0</v>
      </c>
      <c r="E172" s="29">
        <f>MAX(ABS(B172-B171),ABS(C172-C171))</f>
        <v/>
      </c>
      <c r="F172" s="9" t="inlineStr"/>
      <c r="G172" s="29">
        <f>0.5*(2+0.9*G171)+0.5*(2+0.9*H171)</f>
        <v/>
      </c>
      <c r="H172" s="29">
        <f>1*(-10+0.9*I171)</f>
        <v/>
      </c>
      <c r="I172" s="9" t="n">
        <v>0</v>
      </c>
      <c r="J172" s="29">
        <f>MAX(ABS(G172-G171),ABS(H172-H171))</f>
        <v/>
      </c>
      <c r="K172" s="29">
        <f>MAX(ABS(B172-G172),ABS(C172-H172))</f>
        <v/>
      </c>
    </row>
    <row r="173">
      <c r="A173" s="9" t="n">
        <v>50</v>
      </c>
      <c r="B173" s="29">
        <f>0.5*(2+0.9*B172)+0.5*(2+0.9*C172)</f>
        <v/>
      </c>
      <c r="C173" s="29">
        <f>1*(-10+0.9*D172)</f>
        <v/>
      </c>
      <c r="D173" s="9" t="n">
        <v>0</v>
      </c>
      <c r="E173" s="29">
        <f>MAX(ABS(B173-B172),ABS(C173-C172))</f>
        <v/>
      </c>
      <c r="F173" s="9" t="inlineStr"/>
      <c r="G173" s="29">
        <f>0.5*(2+0.9*G172)+0.5*(2+0.9*H172)</f>
        <v/>
      </c>
      <c r="H173" s="29">
        <f>1*(-10+0.9*I172)</f>
        <v/>
      </c>
      <c r="I173" s="9" t="n">
        <v>0</v>
      </c>
      <c r="J173" s="29">
        <f>MAX(ABS(G173-G172),ABS(H173-H172))</f>
        <v/>
      </c>
      <c r="K173" s="29">
        <f>MAX(ABS(B173-G173),ABS(C173-H173))</f>
        <v/>
      </c>
    </row>
    <row r="174"/>
    <row r="175"/>
    <row r="176">
      <c r="A176" s="33" t="inlineStr">
        <is>
          <t>Policy 4: Worst (Slow@Cool, Fast@Warm)</t>
        </is>
      </c>
    </row>
    <row r="177">
      <c r="A177" s="4" t="inlineStr">
        <is>
          <t>SYNCHRONOUS: V_{k+1}(C) = 0.5·(1+γ·V_k(C))+0.5·(1+γ·V_k(W)).  V_{k+1}(W) = -10.  Slow@Cool, Fast@Warm.</t>
        </is>
      </c>
    </row>
    <row r="178">
      <c r="A178" s="4" t="inlineStr">
        <is>
          <t>IN-PLACE: V(C) ← slow formula with V_old.  V(W) ← -10.  (Again W doesn't depend on C, so identical.)</t>
        </is>
      </c>
    </row>
    <row r="179">
      <c r="A179" s="6" t="inlineStr">
        <is>
          <t>k</t>
        </is>
      </c>
      <c r="B179" s="6" t="inlineStr">
        <is>
          <t>V_k(C) sync ✱</t>
        </is>
      </c>
      <c r="C179" s="6" t="inlineStr">
        <is>
          <t>V_k(W) sync ✱</t>
        </is>
      </c>
      <c r="D179" s="6" t="inlineStr">
        <is>
          <t>V_k(OH)</t>
        </is>
      </c>
      <c r="E179" s="6" t="inlineStr">
        <is>
          <t>|ΔV| sync ✱</t>
        </is>
      </c>
      <c r="F179" s="30" t="inlineStr"/>
      <c r="G179" s="6" t="inlineStr">
        <is>
          <t>V_k(C) inplace ✱</t>
        </is>
      </c>
      <c r="H179" s="6" t="inlineStr">
        <is>
          <t>V_k(W) inplace ✱</t>
        </is>
      </c>
      <c r="I179" s="6" t="inlineStr">
        <is>
          <t>V_k(OH)</t>
        </is>
      </c>
      <c r="J179" s="6" t="inlineStr">
        <is>
          <t>|ΔV| inplace ✱</t>
        </is>
      </c>
      <c r="K179" s="6" t="inlineStr">
        <is>
          <t>Diff ✱</t>
        </is>
      </c>
    </row>
    <row r="180">
      <c r="A180" s="9" t="n">
        <v>0</v>
      </c>
      <c r="B180" s="9" t="n">
        <v>0</v>
      </c>
      <c r="C180" s="9" t="n">
        <v>0</v>
      </c>
      <c r="D180" s="9" t="n">
        <v>0</v>
      </c>
      <c r="E180" s="9" t="inlineStr">
        <is>
          <t>—</t>
        </is>
      </c>
      <c r="F180" s="9" t="inlineStr"/>
      <c r="G180" s="9" t="n">
        <v>0</v>
      </c>
      <c r="H180" s="9" t="n">
        <v>0</v>
      </c>
      <c r="I180" s="9" t="n">
        <v>0</v>
      </c>
      <c r="J180" s="9" t="inlineStr">
        <is>
          <t>—</t>
        </is>
      </c>
      <c r="K180" s="9" t="inlineStr">
        <is>
          <t>—</t>
        </is>
      </c>
    </row>
    <row r="181">
      <c r="A181" s="9" t="n">
        <v>1</v>
      </c>
      <c r="B181" s="29">
        <f>0.5*(1+0.9*B180)+0.5*(1+0.9*C180)</f>
        <v/>
      </c>
      <c r="C181" s="29">
        <f>1*(-10+0.9*D180)</f>
        <v/>
      </c>
      <c r="D181" s="9" t="n">
        <v>0</v>
      </c>
      <c r="E181" s="29">
        <f>MAX(ABS(B181-B180),ABS(C181-C180))</f>
        <v/>
      </c>
      <c r="F181" s="9" t="inlineStr"/>
      <c r="G181" s="29">
        <f>0.5*(1+0.9*G180)+0.5*(1+0.9*H180)</f>
        <v/>
      </c>
      <c r="H181" s="29">
        <f>1*(-10+0.9*I180)</f>
        <v/>
      </c>
      <c r="I181" s="9" t="n">
        <v>0</v>
      </c>
      <c r="J181" s="29">
        <f>MAX(ABS(G181-G180),ABS(H181-H180))</f>
        <v/>
      </c>
      <c r="K181" s="29">
        <f>MAX(ABS(B181-G181),ABS(C181-H181))</f>
        <v/>
      </c>
    </row>
    <row r="182">
      <c r="A182" s="9" t="n">
        <v>2</v>
      </c>
      <c r="B182" s="29">
        <f>0.5*(1+0.9*B181)+0.5*(1+0.9*C181)</f>
        <v/>
      </c>
      <c r="C182" s="29">
        <f>1*(-10+0.9*D181)</f>
        <v/>
      </c>
      <c r="D182" s="9" t="n">
        <v>0</v>
      </c>
      <c r="E182" s="29">
        <f>MAX(ABS(B182-B181),ABS(C182-C181))</f>
        <v/>
      </c>
      <c r="F182" s="9" t="inlineStr"/>
      <c r="G182" s="29">
        <f>0.5*(1+0.9*G181)+0.5*(1+0.9*H181)</f>
        <v/>
      </c>
      <c r="H182" s="29">
        <f>1*(-10+0.9*I181)</f>
        <v/>
      </c>
      <c r="I182" s="9" t="n">
        <v>0</v>
      </c>
      <c r="J182" s="29">
        <f>MAX(ABS(G182-G181),ABS(H182-H181))</f>
        <v/>
      </c>
      <c r="K182" s="29">
        <f>MAX(ABS(B182-G182),ABS(C182-H182))</f>
        <v/>
      </c>
    </row>
    <row r="183">
      <c r="A183" s="9" t="n">
        <v>3</v>
      </c>
      <c r="B183" s="29">
        <f>0.5*(1+0.9*B182)+0.5*(1+0.9*C182)</f>
        <v/>
      </c>
      <c r="C183" s="29">
        <f>1*(-10+0.9*D182)</f>
        <v/>
      </c>
      <c r="D183" s="9" t="n">
        <v>0</v>
      </c>
      <c r="E183" s="29">
        <f>MAX(ABS(B183-B182),ABS(C183-C182))</f>
        <v/>
      </c>
      <c r="F183" s="9" t="inlineStr"/>
      <c r="G183" s="29">
        <f>0.5*(1+0.9*G182)+0.5*(1+0.9*H182)</f>
        <v/>
      </c>
      <c r="H183" s="29">
        <f>1*(-10+0.9*I182)</f>
        <v/>
      </c>
      <c r="I183" s="9" t="n">
        <v>0</v>
      </c>
      <c r="J183" s="29">
        <f>MAX(ABS(G183-G182),ABS(H183-H182))</f>
        <v/>
      </c>
      <c r="K183" s="29">
        <f>MAX(ABS(B183-G183),ABS(C183-H183))</f>
        <v/>
      </c>
    </row>
    <row r="184">
      <c r="A184" s="9" t="n">
        <v>4</v>
      </c>
      <c r="B184" s="29">
        <f>0.5*(1+0.9*B183)+0.5*(1+0.9*C183)</f>
        <v/>
      </c>
      <c r="C184" s="29">
        <f>1*(-10+0.9*D183)</f>
        <v/>
      </c>
      <c r="D184" s="9" t="n">
        <v>0</v>
      </c>
      <c r="E184" s="29">
        <f>MAX(ABS(B184-B183),ABS(C184-C183))</f>
        <v/>
      </c>
      <c r="F184" s="9" t="inlineStr"/>
      <c r="G184" s="29">
        <f>0.5*(1+0.9*G183)+0.5*(1+0.9*H183)</f>
        <v/>
      </c>
      <c r="H184" s="29">
        <f>1*(-10+0.9*I183)</f>
        <v/>
      </c>
      <c r="I184" s="9" t="n">
        <v>0</v>
      </c>
      <c r="J184" s="29">
        <f>MAX(ABS(G184-G183),ABS(H184-H183))</f>
        <v/>
      </c>
      <c r="K184" s="29">
        <f>MAX(ABS(B184-G184),ABS(C184-H184))</f>
        <v/>
      </c>
    </row>
    <row r="185">
      <c r="A185" s="9" t="n">
        <v>5</v>
      </c>
      <c r="B185" s="29">
        <f>0.5*(1+0.9*B184)+0.5*(1+0.9*C184)</f>
        <v/>
      </c>
      <c r="C185" s="29">
        <f>1*(-10+0.9*D184)</f>
        <v/>
      </c>
      <c r="D185" s="9" t="n">
        <v>0</v>
      </c>
      <c r="E185" s="29">
        <f>MAX(ABS(B185-B184),ABS(C185-C184))</f>
        <v/>
      </c>
      <c r="F185" s="9" t="inlineStr"/>
      <c r="G185" s="29">
        <f>0.5*(1+0.9*G184)+0.5*(1+0.9*H184)</f>
        <v/>
      </c>
      <c r="H185" s="29">
        <f>1*(-10+0.9*I184)</f>
        <v/>
      </c>
      <c r="I185" s="9" t="n">
        <v>0</v>
      </c>
      <c r="J185" s="29">
        <f>MAX(ABS(G185-G184),ABS(H185-H184))</f>
        <v/>
      </c>
      <c r="K185" s="29">
        <f>MAX(ABS(B185-G185),ABS(C185-H185))</f>
        <v/>
      </c>
    </row>
    <row r="186">
      <c r="A186" s="9" t="n">
        <v>6</v>
      </c>
      <c r="B186" s="29">
        <f>0.5*(1+0.9*B185)+0.5*(1+0.9*C185)</f>
        <v/>
      </c>
      <c r="C186" s="29">
        <f>1*(-10+0.9*D185)</f>
        <v/>
      </c>
      <c r="D186" s="9" t="n">
        <v>0</v>
      </c>
      <c r="E186" s="29">
        <f>MAX(ABS(B186-B185),ABS(C186-C185))</f>
        <v/>
      </c>
      <c r="F186" s="9" t="inlineStr"/>
      <c r="G186" s="29">
        <f>0.5*(1+0.9*G185)+0.5*(1+0.9*H185)</f>
        <v/>
      </c>
      <c r="H186" s="29">
        <f>1*(-10+0.9*I185)</f>
        <v/>
      </c>
      <c r="I186" s="9" t="n">
        <v>0</v>
      </c>
      <c r="J186" s="29">
        <f>MAX(ABS(G186-G185),ABS(H186-H185))</f>
        <v/>
      </c>
      <c r="K186" s="29">
        <f>MAX(ABS(B186-G186),ABS(C186-H186))</f>
        <v/>
      </c>
    </row>
    <row r="187">
      <c r="A187" s="9" t="n">
        <v>7</v>
      </c>
      <c r="B187" s="29">
        <f>0.5*(1+0.9*B186)+0.5*(1+0.9*C186)</f>
        <v/>
      </c>
      <c r="C187" s="29">
        <f>1*(-10+0.9*D186)</f>
        <v/>
      </c>
      <c r="D187" s="9" t="n">
        <v>0</v>
      </c>
      <c r="E187" s="29">
        <f>MAX(ABS(B187-B186),ABS(C187-C186))</f>
        <v/>
      </c>
      <c r="F187" s="9" t="inlineStr"/>
      <c r="G187" s="29">
        <f>0.5*(1+0.9*G186)+0.5*(1+0.9*H186)</f>
        <v/>
      </c>
      <c r="H187" s="29">
        <f>1*(-10+0.9*I186)</f>
        <v/>
      </c>
      <c r="I187" s="9" t="n">
        <v>0</v>
      </c>
      <c r="J187" s="29">
        <f>MAX(ABS(G187-G186),ABS(H187-H186))</f>
        <v/>
      </c>
      <c r="K187" s="29">
        <f>MAX(ABS(B187-G187),ABS(C187-H187))</f>
        <v/>
      </c>
    </row>
    <row r="188">
      <c r="A188" s="9" t="n">
        <v>8</v>
      </c>
      <c r="B188" s="29">
        <f>0.5*(1+0.9*B187)+0.5*(1+0.9*C187)</f>
        <v/>
      </c>
      <c r="C188" s="29">
        <f>1*(-10+0.9*D187)</f>
        <v/>
      </c>
      <c r="D188" s="9" t="n">
        <v>0</v>
      </c>
      <c r="E188" s="29">
        <f>MAX(ABS(B188-B187),ABS(C188-C187))</f>
        <v/>
      </c>
      <c r="F188" s="9" t="inlineStr"/>
      <c r="G188" s="29">
        <f>0.5*(1+0.9*G187)+0.5*(1+0.9*H187)</f>
        <v/>
      </c>
      <c r="H188" s="29">
        <f>1*(-10+0.9*I187)</f>
        <v/>
      </c>
      <c r="I188" s="9" t="n">
        <v>0</v>
      </c>
      <c r="J188" s="29">
        <f>MAX(ABS(G188-G187),ABS(H188-H187))</f>
        <v/>
      </c>
      <c r="K188" s="29">
        <f>MAX(ABS(B188-G188),ABS(C188-H188))</f>
        <v/>
      </c>
    </row>
    <row r="189">
      <c r="A189" s="9" t="n">
        <v>9</v>
      </c>
      <c r="B189" s="29">
        <f>0.5*(1+0.9*B188)+0.5*(1+0.9*C188)</f>
        <v/>
      </c>
      <c r="C189" s="29">
        <f>1*(-10+0.9*D188)</f>
        <v/>
      </c>
      <c r="D189" s="9" t="n">
        <v>0</v>
      </c>
      <c r="E189" s="29">
        <f>MAX(ABS(B189-B188),ABS(C189-C188))</f>
        <v/>
      </c>
      <c r="F189" s="9" t="inlineStr"/>
      <c r="G189" s="29">
        <f>0.5*(1+0.9*G188)+0.5*(1+0.9*H188)</f>
        <v/>
      </c>
      <c r="H189" s="29">
        <f>1*(-10+0.9*I188)</f>
        <v/>
      </c>
      <c r="I189" s="9" t="n">
        <v>0</v>
      </c>
      <c r="J189" s="29">
        <f>MAX(ABS(G189-G188),ABS(H189-H188))</f>
        <v/>
      </c>
      <c r="K189" s="29">
        <f>MAX(ABS(B189-G189),ABS(C189-H189))</f>
        <v/>
      </c>
    </row>
    <row r="190">
      <c r="A190" s="9" t="n">
        <v>10</v>
      </c>
      <c r="B190" s="29">
        <f>0.5*(1+0.9*B189)+0.5*(1+0.9*C189)</f>
        <v/>
      </c>
      <c r="C190" s="29">
        <f>1*(-10+0.9*D189)</f>
        <v/>
      </c>
      <c r="D190" s="9" t="n">
        <v>0</v>
      </c>
      <c r="E190" s="29">
        <f>MAX(ABS(B190-B189),ABS(C190-C189))</f>
        <v/>
      </c>
      <c r="F190" s="9" t="inlineStr"/>
      <c r="G190" s="29">
        <f>0.5*(1+0.9*G189)+0.5*(1+0.9*H189)</f>
        <v/>
      </c>
      <c r="H190" s="29">
        <f>1*(-10+0.9*I189)</f>
        <v/>
      </c>
      <c r="I190" s="9" t="n">
        <v>0</v>
      </c>
      <c r="J190" s="29">
        <f>MAX(ABS(G190-G189),ABS(H190-H189))</f>
        <v/>
      </c>
      <c r="K190" s="29">
        <f>MAX(ABS(B190-G190),ABS(C190-H190))</f>
        <v/>
      </c>
    </row>
    <row r="191">
      <c r="A191" s="9" t="n">
        <v>11</v>
      </c>
      <c r="B191" s="29">
        <f>0.5*(1+0.9*B190)+0.5*(1+0.9*C190)</f>
        <v/>
      </c>
      <c r="C191" s="29">
        <f>1*(-10+0.9*D190)</f>
        <v/>
      </c>
      <c r="D191" s="9" t="n">
        <v>0</v>
      </c>
      <c r="E191" s="29">
        <f>MAX(ABS(B191-B190),ABS(C191-C190))</f>
        <v/>
      </c>
      <c r="F191" s="9" t="inlineStr"/>
      <c r="G191" s="29">
        <f>0.5*(1+0.9*G190)+0.5*(1+0.9*H190)</f>
        <v/>
      </c>
      <c r="H191" s="29">
        <f>1*(-10+0.9*I190)</f>
        <v/>
      </c>
      <c r="I191" s="9" t="n">
        <v>0</v>
      </c>
      <c r="J191" s="29">
        <f>MAX(ABS(G191-G190),ABS(H191-H190))</f>
        <v/>
      </c>
      <c r="K191" s="29">
        <f>MAX(ABS(B191-G191),ABS(C191-H191))</f>
        <v/>
      </c>
    </row>
    <row r="192">
      <c r="A192" s="9" t="n">
        <v>12</v>
      </c>
      <c r="B192" s="29">
        <f>0.5*(1+0.9*B191)+0.5*(1+0.9*C191)</f>
        <v/>
      </c>
      <c r="C192" s="29">
        <f>1*(-10+0.9*D191)</f>
        <v/>
      </c>
      <c r="D192" s="9" t="n">
        <v>0</v>
      </c>
      <c r="E192" s="29">
        <f>MAX(ABS(B192-B191),ABS(C192-C191))</f>
        <v/>
      </c>
      <c r="F192" s="9" t="inlineStr"/>
      <c r="G192" s="29">
        <f>0.5*(1+0.9*G191)+0.5*(1+0.9*H191)</f>
        <v/>
      </c>
      <c r="H192" s="29">
        <f>1*(-10+0.9*I191)</f>
        <v/>
      </c>
      <c r="I192" s="9" t="n">
        <v>0</v>
      </c>
      <c r="J192" s="29">
        <f>MAX(ABS(G192-G191),ABS(H192-H191))</f>
        <v/>
      </c>
      <c r="K192" s="29">
        <f>MAX(ABS(B192-G192),ABS(C192-H192))</f>
        <v/>
      </c>
    </row>
    <row r="193">
      <c r="A193" s="9" t="n">
        <v>13</v>
      </c>
      <c r="B193" s="29">
        <f>0.5*(1+0.9*B192)+0.5*(1+0.9*C192)</f>
        <v/>
      </c>
      <c r="C193" s="29">
        <f>1*(-10+0.9*D192)</f>
        <v/>
      </c>
      <c r="D193" s="9" t="n">
        <v>0</v>
      </c>
      <c r="E193" s="29">
        <f>MAX(ABS(B193-B192),ABS(C193-C192))</f>
        <v/>
      </c>
      <c r="F193" s="9" t="inlineStr"/>
      <c r="G193" s="29">
        <f>0.5*(1+0.9*G192)+0.5*(1+0.9*H192)</f>
        <v/>
      </c>
      <c r="H193" s="29">
        <f>1*(-10+0.9*I192)</f>
        <v/>
      </c>
      <c r="I193" s="9" t="n">
        <v>0</v>
      </c>
      <c r="J193" s="29">
        <f>MAX(ABS(G193-G192),ABS(H193-H192))</f>
        <v/>
      </c>
      <c r="K193" s="29">
        <f>MAX(ABS(B193-G193),ABS(C193-H193))</f>
        <v/>
      </c>
    </row>
    <row r="194">
      <c r="A194" s="9" t="n">
        <v>14</v>
      </c>
      <c r="B194" s="29">
        <f>0.5*(1+0.9*B193)+0.5*(1+0.9*C193)</f>
        <v/>
      </c>
      <c r="C194" s="29">
        <f>1*(-10+0.9*D193)</f>
        <v/>
      </c>
      <c r="D194" s="9" t="n">
        <v>0</v>
      </c>
      <c r="E194" s="29">
        <f>MAX(ABS(B194-B193),ABS(C194-C193))</f>
        <v/>
      </c>
      <c r="F194" s="9" t="inlineStr"/>
      <c r="G194" s="29">
        <f>0.5*(1+0.9*G193)+0.5*(1+0.9*H193)</f>
        <v/>
      </c>
      <c r="H194" s="29">
        <f>1*(-10+0.9*I193)</f>
        <v/>
      </c>
      <c r="I194" s="9" t="n">
        <v>0</v>
      </c>
      <c r="J194" s="29">
        <f>MAX(ABS(G194-G193),ABS(H194-H193))</f>
        <v/>
      </c>
      <c r="K194" s="29">
        <f>MAX(ABS(B194-G194),ABS(C194-H194))</f>
        <v/>
      </c>
    </row>
    <row r="195">
      <c r="A195" s="9" t="n">
        <v>15</v>
      </c>
      <c r="B195" s="29">
        <f>0.5*(1+0.9*B194)+0.5*(1+0.9*C194)</f>
        <v/>
      </c>
      <c r="C195" s="29">
        <f>1*(-10+0.9*D194)</f>
        <v/>
      </c>
      <c r="D195" s="9" t="n">
        <v>0</v>
      </c>
      <c r="E195" s="29">
        <f>MAX(ABS(B195-B194),ABS(C195-C194))</f>
        <v/>
      </c>
      <c r="F195" s="9" t="inlineStr"/>
      <c r="G195" s="29">
        <f>0.5*(1+0.9*G194)+0.5*(1+0.9*H194)</f>
        <v/>
      </c>
      <c r="H195" s="29">
        <f>1*(-10+0.9*I194)</f>
        <v/>
      </c>
      <c r="I195" s="9" t="n">
        <v>0</v>
      </c>
      <c r="J195" s="29">
        <f>MAX(ABS(G195-G194),ABS(H195-H194))</f>
        <v/>
      </c>
      <c r="K195" s="29">
        <f>MAX(ABS(B195-G195),ABS(C195-H195))</f>
        <v/>
      </c>
    </row>
    <row r="196">
      <c r="A196" s="9" t="n">
        <v>16</v>
      </c>
      <c r="B196" s="29">
        <f>0.5*(1+0.9*B195)+0.5*(1+0.9*C195)</f>
        <v/>
      </c>
      <c r="C196" s="29">
        <f>1*(-10+0.9*D195)</f>
        <v/>
      </c>
      <c r="D196" s="9" t="n">
        <v>0</v>
      </c>
      <c r="E196" s="29">
        <f>MAX(ABS(B196-B195),ABS(C196-C195))</f>
        <v/>
      </c>
      <c r="F196" s="9" t="inlineStr"/>
      <c r="G196" s="29">
        <f>0.5*(1+0.9*G195)+0.5*(1+0.9*H195)</f>
        <v/>
      </c>
      <c r="H196" s="29">
        <f>1*(-10+0.9*I195)</f>
        <v/>
      </c>
      <c r="I196" s="9" t="n">
        <v>0</v>
      </c>
      <c r="J196" s="29">
        <f>MAX(ABS(G196-G195),ABS(H196-H195))</f>
        <v/>
      </c>
      <c r="K196" s="29">
        <f>MAX(ABS(B196-G196),ABS(C196-H196))</f>
        <v/>
      </c>
    </row>
    <row r="197">
      <c r="A197" s="9" t="n">
        <v>17</v>
      </c>
      <c r="B197" s="29">
        <f>0.5*(1+0.9*B196)+0.5*(1+0.9*C196)</f>
        <v/>
      </c>
      <c r="C197" s="29">
        <f>1*(-10+0.9*D196)</f>
        <v/>
      </c>
      <c r="D197" s="9" t="n">
        <v>0</v>
      </c>
      <c r="E197" s="29">
        <f>MAX(ABS(B197-B196),ABS(C197-C196))</f>
        <v/>
      </c>
      <c r="F197" s="9" t="inlineStr"/>
      <c r="G197" s="29">
        <f>0.5*(1+0.9*G196)+0.5*(1+0.9*H196)</f>
        <v/>
      </c>
      <c r="H197" s="29">
        <f>1*(-10+0.9*I196)</f>
        <v/>
      </c>
      <c r="I197" s="9" t="n">
        <v>0</v>
      </c>
      <c r="J197" s="29">
        <f>MAX(ABS(G197-G196),ABS(H197-H196))</f>
        <v/>
      </c>
      <c r="K197" s="29">
        <f>MAX(ABS(B197-G197),ABS(C197-H197))</f>
        <v/>
      </c>
    </row>
    <row r="198">
      <c r="A198" s="9" t="n">
        <v>18</v>
      </c>
      <c r="B198" s="29">
        <f>0.5*(1+0.9*B197)+0.5*(1+0.9*C197)</f>
        <v/>
      </c>
      <c r="C198" s="29">
        <f>1*(-10+0.9*D197)</f>
        <v/>
      </c>
      <c r="D198" s="9" t="n">
        <v>0</v>
      </c>
      <c r="E198" s="29">
        <f>MAX(ABS(B198-B197),ABS(C198-C197))</f>
        <v/>
      </c>
      <c r="F198" s="9" t="inlineStr"/>
      <c r="G198" s="29">
        <f>0.5*(1+0.9*G197)+0.5*(1+0.9*H197)</f>
        <v/>
      </c>
      <c r="H198" s="29">
        <f>1*(-10+0.9*I197)</f>
        <v/>
      </c>
      <c r="I198" s="9" t="n">
        <v>0</v>
      </c>
      <c r="J198" s="29">
        <f>MAX(ABS(G198-G197),ABS(H198-H197))</f>
        <v/>
      </c>
      <c r="K198" s="29">
        <f>MAX(ABS(B198-G198),ABS(C198-H198))</f>
        <v/>
      </c>
    </row>
    <row r="199">
      <c r="A199" s="9" t="n">
        <v>19</v>
      </c>
      <c r="B199" s="29">
        <f>0.5*(1+0.9*B198)+0.5*(1+0.9*C198)</f>
        <v/>
      </c>
      <c r="C199" s="29">
        <f>1*(-10+0.9*D198)</f>
        <v/>
      </c>
      <c r="D199" s="9" t="n">
        <v>0</v>
      </c>
      <c r="E199" s="29">
        <f>MAX(ABS(B199-B198),ABS(C199-C198))</f>
        <v/>
      </c>
      <c r="F199" s="9" t="inlineStr"/>
      <c r="G199" s="29">
        <f>0.5*(1+0.9*G198)+0.5*(1+0.9*H198)</f>
        <v/>
      </c>
      <c r="H199" s="29">
        <f>1*(-10+0.9*I198)</f>
        <v/>
      </c>
      <c r="I199" s="9" t="n">
        <v>0</v>
      </c>
      <c r="J199" s="29">
        <f>MAX(ABS(G199-G198),ABS(H199-H198))</f>
        <v/>
      </c>
      <c r="K199" s="29">
        <f>MAX(ABS(B199-G199),ABS(C199-H199))</f>
        <v/>
      </c>
    </row>
    <row r="200">
      <c r="A200" s="9" t="n">
        <v>20</v>
      </c>
      <c r="B200" s="29">
        <f>0.5*(1+0.9*B199)+0.5*(1+0.9*C199)</f>
        <v/>
      </c>
      <c r="C200" s="29">
        <f>1*(-10+0.9*D199)</f>
        <v/>
      </c>
      <c r="D200" s="9" t="n">
        <v>0</v>
      </c>
      <c r="E200" s="29">
        <f>MAX(ABS(B200-B199),ABS(C200-C199))</f>
        <v/>
      </c>
      <c r="F200" s="9" t="inlineStr"/>
      <c r="G200" s="29">
        <f>0.5*(1+0.9*G199)+0.5*(1+0.9*H199)</f>
        <v/>
      </c>
      <c r="H200" s="29">
        <f>1*(-10+0.9*I199)</f>
        <v/>
      </c>
      <c r="I200" s="9" t="n">
        <v>0</v>
      </c>
      <c r="J200" s="29">
        <f>MAX(ABS(G200-G199),ABS(H200-H199))</f>
        <v/>
      </c>
      <c r="K200" s="29">
        <f>MAX(ABS(B200-G200),ABS(C200-H200))</f>
        <v/>
      </c>
    </row>
    <row r="201">
      <c r="A201" s="9" t="n">
        <v>21</v>
      </c>
      <c r="B201" s="29">
        <f>0.5*(1+0.9*B200)+0.5*(1+0.9*C200)</f>
        <v/>
      </c>
      <c r="C201" s="29">
        <f>1*(-10+0.9*D200)</f>
        <v/>
      </c>
      <c r="D201" s="9" t="n">
        <v>0</v>
      </c>
      <c r="E201" s="29">
        <f>MAX(ABS(B201-B200),ABS(C201-C200))</f>
        <v/>
      </c>
      <c r="F201" s="9" t="inlineStr"/>
      <c r="G201" s="29">
        <f>0.5*(1+0.9*G200)+0.5*(1+0.9*H200)</f>
        <v/>
      </c>
      <c r="H201" s="29">
        <f>1*(-10+0.9*I200)</f>
        <v/>
      </c>
      <c r="I201" s="9" t="n">
        <v>0</v>
      </c>
      <c r="J201" s="29">
        <f>MAX(ABS(G201-G200),ABS(H201-H200))</f>
        <v/>
      </c>
      <c r="K201" s="29">
        <f>MAX(ABS(B201-G201),ABS(C201-H201))</f>
        <v/>
      </c>
    </row>
    <row r="202">
      <c r="A202" s="9" t="n">
        <v>22</v>
      </c>
      <c r="B202" s="29">
        <f>0.5*(1+0.9*B201)+0.5*(1+0.9*C201)</f>
        <v/>
      </c>
      <c r="C202" s="29">
        <f>1*(-10+0.9*D201)</f>
        <v/>
      </c>
      <c r="D202" s="9" t="n">
        <v>0</v>
      </c>
      <c r="E202" s="29">
        <f>MAX(ABS(B202-B201),ABS(C202-C201))</f>
        <v/>
      </c>
      <c r="F202" s="9" t="inlineStr"/>
      <c r="G202" s="29">
        <f>0.5*(1+0.9*G201)+0.5*(1+0.9*H201)</f>
        <v/>
      </c>
      <c r="H202" s="29">
        <f>1*(-10+0.9*I201)</f>
        <v/>
      </c>
      <c r="I202" s="9" t="n">
        <v>0</v>
      </c>
      <c r="J202" s="29">
        <f>MAX(ABS(G202-G201),ABS(H202-H201))</f>
        <v/>
      </c>
      <c r="K202" s="29">
        <f>MAX(ABS(B202-G202),ABS(C202-H202))</f>
        <v/>
      </c>
    </row>
    <row r="203">
      <c r="A203" s="9" t="n">
        <v>23</v>
      </c>
      <c r="B203" s="29">
        <f>0.5*(1+0.9*B202)+0.5*(1+0.9*C202)</f>
        <v/>
      </c>
      <c r="C203" s="29">
        <f>1*(-10+0.9*D202)</f>
        <v/>
      </c>
      <c r="D203" s="9" t="n">
        <v>0</v>
      </c>
      <c r="E203" s="29">
        <f>MAX(ABS(B203-B202),ABS(C203-C202))</f>
        <v/>
      </c>
      <c r="F203" s="9" t="inlineStr"/>
      <c r="G203" s="29">
        <f>0.5*(1+0.9*G202)+0.5*(1+0.9*H202)</f>
        <v/>
      </c>
      <c r="H203" s="29">
        <f>1*(-10+0.9*I202)</f>
        <v/>
      </c>
      <c r="I203" s="9" t="n">
        <v>0</v>
      </c>
      <c r="J203" s="29">
        <f>MAX(ABS(G203-G202),ABS(H203-H202))</f>
        <v/>
      </c>
      <c r="K203" s="29">
        <f>MAX(ABS(B203-G203),ABS(C203-H203))</f>
        <v/>
      </c>
    </row>
    <row r="204">
      <c r="A204" s="9" t="n">
        <v>24</v>
      </c>
      <c r="B204" s="29">
        <f>0.5*(1+0.9*B203)+0.5*(1+0.9*C203)</f>
        <v/>
      </c>
      <c r="C204" s="29">
        <f>1*(-10+0.9*D203)</f>
        <v/>
      </c>
      <c r="D204" s="9" t="n">
        <v>0</v>
      </c>
      <c r="E204" s="29">
        <f>MAX(ABS(B204-B203),ABS(C204-C203))</f>
        <v/>
      </c>
      <c r="F204" s="9" t="inlineStr"/>
      <c r="G204" s="29">
        <f>0.5*(1+0.9*G203)+0.5*(1+0.9*H203)</f>
        <v/>
      </c>
      <c r="H204" s="29">
        <f>1*(-10+0.9*I203)</f>
        <v/>
      </c>
      <c r="I204" s="9" t="n">
        <v>0</v>
      </c>
      <c r="J204" s="29">
        <f>MAX(ABS(G204-G203),ABS(H204-H203))</f>
        <v/>
      </c>
      <c r="K204" s="29">
        <f>MAX(ABS(B204-G204),ABS(C204-H204))</f>
        <v/>
      </c>
    </row>
    <row r="205">
      <c r="A205" s="9" t="n">
        <v>25</v>
      </c>
      <c r="B205" s="29">
        <f>0.5*(1+0.9*B204)+0.5*(1+0.9*C204)</f>
        <v/>
      </c>
      <c r="C205" s="29">
        <f>1*(-10+0.9*D204)</f>
        <v/>
      </c>
      <c r="D205" s="9" t="n">
        <v>0</v>
      </c>
      <c r="E205" s="29">
        <f>MAX(ABS(B205-B204),ABS(C205-C204))</f>
        <v/>
      </c>
      <c r="F205" s="9" t="inlineStr"/>
      <c r="G205" s="29">
        <f>0.5*(1+0.9*G204)+0.5*(1+0.9*H204)</f>
        <v/>
      </c>
      <c r="H205" s="29">
        <f>1*(-10+0.9*I204)</f>
        <v/>
      </c>
      <c r="I205" s="9" t="n">
        <v>0</v>
      </c>
      <c r="J205" s="29">
        <f>MAX(ABS(G205-G204),ABS(H205-H204))</f>
        <v/>
      </c>
      <c r="K205" s="29">
        <f>MAX(ABS(B205-G205),ABS(C205-H205))</f>
        <v/>
      </c>
    </row>
    <row r="206">
      <c r="A206" s="9" t="n">
        <v>26</v>
      </c>
      <c r="B206" s="29">
        <f>0.5*(1+0.9*B205)+0.5*(1+0.9*C205)</f>
        <v/>
      </c>
      <c r="C206" s="29">
        <f>1*(-10+0.9*D205)</f>
        <v/>
      </c>
      <c r="D206" s="9" t="n">
        <v>0</v>
      </c>
      <c r="E206" s="29">
        <f>MAX(ABS(B206-B205),ABS(C206-C205))</f>
        <v/>
      </c>
      <c r="F206" s="9" t="inlineStr"/>
      <c r="G206" s="29">
        <f>0.5*(1+0.9*G205)+0.5*(1+0.9*H205)</f>
        <v/>
      </c>
      <c r="H206" s="29">
        <f>1*(-10+0.9*I205)</f>
        <v/>
      </c>
      <c r="I206" s="9" t="n">
        <v>0</v>
      </c>
      <c r="J206" s="29">
        <f>MAX(ABS(G206-G205),ABS(H206-H205))</f>
        <v/>
      </c>
      <c r="K206" s="29">
        <f>MAX(ABS(B206-G206),ABS(C206-H206))</f>
        <v/>
      </c>
    </row>
    <row r="207">
      <c r="A207" s="9" t="n">
        <v>27</v>
      </c>
      <c r="B207" s="29">
        <f>0.5*(1+0.9*B206)+0.5*(1+0.9*C206)</f>
        <v/>
      </c>
      <c r="C207" s="29">
        <f>1*(-10+0.9*D206)</f>
        <v/>
      </c>
      <c r="D207" s="9" t="n">
        <v>0</v>
      </c>
      <c r="E207" s="29">
        <f>MAX(ABS(B207-B206),ABS(C207-C206))</f>
        <v/>
      </c>
      <c r="F207" s="9" t="inlineStr"/>
      <c r="G207" s="29">
        <f>0.5*(1+0.9*G206)+0.5*(1+0.9*H206)</f>
        <v/>
      </c>
      <c r="H207" s="29">
        <f>1*(-10+0.9*I206)</f>
        <v/>
      </c>
      <c r="I207" s="9" t="n">
        <v>0</v>
      </c>
      <c r="J207" s="29">
        <f>MAX(ABS(G207-G206),ABS(H207-H206))</f>
        <v/>
      </c>
      <c r="K207" s="29">
        <f>MAX(ABS(B207-G207),ABS(C207-H207))</f>
        <v/>
      </c>
    </row>
    <row r="208">
      <c r="A208" s="9" t="n">
        <v>28</v>
      </c>
      <c r="B208" s="29">
        <f>0.5*(1+0.9*B207)+0.5*(1+0.9*C207)</f>
        <v/>
      </c>
      <c r="C208" s="29">
        <f>1*(-10+0.9*D207)</f>
        <v/>
      </c>
      <c r="D208" s="9" t="n">
        <v>0</v>
      </c>
      <c r="E208" s="29">
        <f>MAX(ABS(B208-B207),ABS(C208-C207))</f>
        <v/>
      </c>
      <c r="F208" s="9" t="inlineStr"/>
      <c r="G208" s="29">
        <f>0.5*(1+0.9*G207)+0.5*(1+0.9*H207)</f>
        <v/>
      </c>
      <c r="H208" s="29">
        <f>1*(-10+0.9*I207)</f>
        <v/>
      </c>
      <c r="I208" s="9" t="n">
        <v>0</v>
      </c>
      <c r="J208" s="29">
        <f>MAX(ABS(G208-G207),ABS(H208-H207))</f>
        <v/>
      </c>
      <c r="K208" s="29">
        <f>MAX(ABS(B208-G208),ABS(C208-H208))</f>
        <v/>
      </c>
    </row>
    <row r="209">
      <c r="A209" s="9" t="n">
        <v>29</v>
      </c>
      <c r="B209" s="29">
        <f>0.5*(1+0.9*B208)+0.5*(1+0.9*C208)</f>
        <v/>
      </c>
      <c r="C209" s="29">
        <f>1*(-10+0.9*D208)</f>
        <v/>
      </c>
      <c r="D209" s="9" t="n">
        <v>0</v>
      </c>
      <c r="E209" s="29">
        <f>MAX(ABS(B209-B208),ABS(C209-C208))</f>
        <v/>
      </c>
      <c r="F209" s="9" t="inlineStr"/>
      <c r="G209" s="29">
        <f>0.5*(1+0.9*G208)+0.5*(1+0.9*H208)</f>
        <v/>
      </c>
      <c r="H209" s="29">
        <f>1*(-10+0.9*I208)</f>
        <v/>
      </c>
      <c r="I209" s="9" t="n">
        <v>0</v>
      </c>
      <c r="J209" s="29">
        <f>MAX(ABS(G209-G208),ABS(H209-H208))</f>
        <v/>
      </c>
      <c r="K209" s="29">
        <f>MAX(ABS(B209-G209),ABS(C209-H209))</f>
        <v/>
      </c>
    </row>
    <row r="210">
      <c r="A210" s="9" t="n">
        <v>30</v>
      </c>
      <c r="B210" s="29">
        <f>0.5*(1+0.9*B209)+0.5*(1+0.9*C209)</f>
        <v/>
      </c>
      <c r="C210" s="29">
        <f>1*(-10+0.9*D209)</f>
        <v/>
      </c>
      <c r="D210" s="9" t="n">
        <v>0</v>
      </c>
      <c r="E210" s="29">
        <f>MAX(ABS(B210-B209),ABS(C210-C209))</f>
        <v/>
      </c>
      <c r="F210" s="9" t="inlineStr"/>
      <c r="G210" s="29">
        <f>0.5*(1+0.9*G209)+0.5*(1+0.9*H209)</f>
        <v/>
      </c>
      <c r="H210" s="29">
        <f>1*(-10+0.9*I209)</f>
        <v/>
      </c>
      <c r="I210" s="9" t="n">
        <v>0</v>
      </c>
      <c r="J210" s="29">
        <f>MAX(ABS(G210-G209),ABS(H210-H209))</f>
        <v/>
      </c>
      <c r="K210" s="29">
        <f>MAX(ABS(B210-G210),ABS(C210-H210))</f>
        <v/>
      </c>
    </row>
    <row r="211">
      <c r="A211" s="9" t="n">
        <v>31</v>
      </c>
      <c r="B211" s="29">
        <f>0.5*(1+0.9*B210)+0.5*(1+0.9*C210)</f>
        <v/>
      </c>
      <c r="C211" s="29">
        <f>1*(-10+0.9*D210)</f>
        <v/>
      </c>
      <c r="D211" s="9" t="n">
        <v>0</v>
      </c>
      <c r="E211" s="29">
        <f>MAX(ABS(B211-B210),ABS(C211-C210))</f>
        <v/>
      </c>
      <c r="F211" s="9" t="inlineStr"/>
      <c r="G211" s="29">
        <f>0.5*(1+0.9*G210)+0.5*(1+0.9*H210)</f>
        <v/>
      </c>
      <c r="H211" s="29">
        <f>1*(-10+0.9*I210)</f>
        <v/>
      </c>
      <c r="I211" s="9" t="n">
        <v>0</v>
      </c>
      <c r="J211" s="29">
        <f>MAX(ABS(G211-G210),ABS(H211-H210))</f>
        <v/>
      </c>
      <c r="K211" s="29">
        <f>MAX(ABS(B211-G211),ABS(C211-H211))</f>
        <v/>
      </c>
    </row>
    <row r="212">
      <c r="A212" s="9" t="n">
        <v>32</v>
      </c>
      <c r="B212" s="29">
        <f>0.5*(1+0.9*B211)+0.5*(1+0.9*C211)</f>
        <v/>
      </c>
      <c r="C212" s="29">
        <f>1*(-10+0.9*D211)</f>
        <v/>
      </c>
      <c r="D212" s="9" t="n">
        <v>0</v>
      </c>
      <c r="E212" s="29">
        <f>MAX(ABS(B212-B211),ABS(C212-C211))</f>
        <v/>
      </c>
      <c r="F212" s="9" t="inlineStr"/>
      <c r="G212" s="29">
        <f>0.5*(1+0.9*G211)+0.5*(1+0.9*H211)</f>
        <v/>
      </c>
      <c r="H212" s="29">
        <f>1*(-10+0.9*I211)</f>
        <v/>
      </c>
      <c r="I212" s="9" t="n">
        <v>0</v>
      </c>
      <c r="J212" s="29">
        <f>MAX(ABS(G212-G211),ABS(H212-H211))</f>
        <v/>
      </c>
      <c r="K212" s="29">
        <f>MAX(ABS(B212-G212),ABS(C212-H212))</f>
        <v/>
      </c>
    </row>
    <row r="213">
      <c r="A213" s="9" t="n">
        <v>33</v>
      </c>
      <c r="B213" s="29">
        <f>0.5*(1+0.9*B212)+0.5*(1+0.9*C212)</f>
        <v/>
      </c>
      <c r="C213" s="29">
        <f>1*(-10+0.9*D212)</f>
        <v/>
      </c>
      <c r="D213" s="9" t="n">
        <v>0</v>
      </c>
      <c r="E213" s="29">
        <f>MAX(ABS(B213-B212),ABS(C213-C212))</f>
        <v/>
      </c>
      <c r="F213" s="9" t="inlineStr"/>
      <c r="G213" s="29">
        <f>0.5*(1+0.9*G212)+0.5*(1+0.9*H212)</f>
        <v/>
      </c>
      <c r="H213" s="29">
        <f>1*(-10+0.9*I212)</f>
        <v/>
      </c>
      <c r="I213" s="9" t="n">
        <v>0</v>
      </c>
      <c r="J213" s="29">
        <f>MAX(ABS(G213-G212),ABS(H213-H212))</f>
        <v/>
      </c>
      <c r="K213" s="29">
        <f>MAX(ABS(B213-G213),ABS(C213-H213))</f>
        <v/>
      </c>
    </row>
    <row r="214">
      <c r="A214" s="9" t="n">
        <v>34</v>
      </c>
      <c r="B214" s="29">
        <f>0.5*(1+0.9*B213)+0.5*(1+0.9*C213)</f>
        <v/>
      </c>
      <c r="C214" s="29">
        <f>1*(-10+0.9*D213)</f>
        <v/>
      </c>
      <c r="D214" s="9" t="n">
        <v>0</v>
      </c>
      <c r="E214" s="29">
        <f>MAX(ABS(B214-B213),ABS(C214-C213))</f>
        <v/>
      </c>
      <c r="F214" s="9" t="inlineStr"/>
      <c r="G214" s="29">
        <f>0.5*(1+0.9*G213)+0.5*(1+0.9*H213)</f>
        <v/>
      </c>
      <c r="H214" s="29">
        <f>1*(-10+0.9*I213)</f>
        <v/>
      </c>
      <c r="I214" s="9" t="n">
        <v>0</v>
      </c>
      <c r="J214" s="29">
        <f>MAX(ABS(G214-G213),ABS(H214-H213))</f>
        <v/>
      </c>
      <c r="K214" s="29">
        <f>MAX(ABS(B214-G214),ABS(C214-H214))</f>
        <v/>
      </c>
    </row>
    <row r="215">
      <c r="A215" s="9" t="n">
        <v>35</v>
      </c>
      <c r="B215" s="29">
        <f>0.5*(1+0.9*B214)+0.5*(1+0.9*C214)</f>
        <v/>
      </c>
      <c r="C215" s="29">
        <f>1*(-10+0.9*D214)</f>
        <v/>
      </c>
      <c r="D215" s="9" t="n">
        <v>0</v>
      </c>
      <c r="E215" s="29">
        <f>MAX(ABS(B215-B214),ABS(C215-C214))</f>
        <v/>
      </c>
      <c r="F215" s="9" t="inlineStr"/>
      <c r="G215" s="29">
        <f>0.5*(1+0.9*G214)+0.5*(1+0.9*H214)</f>
        <v/>
      </c>
      <c r="H215" s="29">
        <f>1*(-10+0.9*I214)</f>
        <v/>
      </c>
      <c r="I215" s="9" t="n">
        <v>0</v>
      </c>
      <c r="J215" s="29">
        <f>MAX(ABS(G215-G214),ABS(H215-H214))</f>
        <v/>
      </c>
      <c r="K215" s="29">
        <f>MAX(ABS(B215-G215),ABS(C215-H215))</f>
        <v/>
      </c>
    </row>
    <row r="216">
      <c r="A216" s="9" t="n">
        <v>36</v>
      </c>
      <c r="B216" s="29">
        <f>0.5*(1+0.9*B215)+0.5*(1+0.9*C215)</f>
        <v/>
      </c>
      <c r="C216" s="29">
        <f>1*(-10+0.9*D215)</f>
        <v/>
      </c>
      <c r="D216" s="9" t="n">
        <v>0</v>
      </c>
      <c r="E216" s="29">
        <f>MAX(ABS(B216-B215),ABS(C216-C215))</f>
        <v/>
      </c>
      <c r="F216" s="9" t="inlineStr"/>
      <c r="G216" s="29">
        <f>0.5*(1+0.9*G215)+0.5*(1+0.9*H215)</f>
        <v/>
      </c>
      <c r="H216" s="29">
        <f>1*(-10+0.9*I215)</f>
        <v/>
      </c>
      <c r="I216" s="9" t="n">
        <v>0</v>
      </c>
      <c r="J216" s="29">
        <f>MAX(ABS(G216-G215),ABS(H216-H215))</f>
        <v/>
      </c>
      <c r="K216" s="29">
        <f>MAX(ABS(B216-G216),ABS(C216-H216))</f>
        <v/>
      </c>
    </row>
    <row r="217">
      <c r="A217" s="9" t="n">
        <v>37</v>
      </c>
      <c r="B217" s="29">
        <f>0.5*(1+0.9*B216)+0.5*(1+0.9*C216)</f>
        <v/>
      </c>
      <c r="C217" s="29">
        <f>1*(-10+0.9*D216)</f>
        <v/>
      </c>
      <c r="D217" s="9" t="n">
        <v>0</v>
      </c>
      <c r="E217" s="29">
        <f>MAX(ABS(B217-B216),ABS(C217-C216))</f>
        <v/>
      </c>
      <c r="F217" s="9" t="inlineStr"/>
      <c r="G217" s="29">
        <f>0.5*(1+0.9*G216)+0.5*(1+0.9*H216)</f>
        <v/>
      </c>
      <c r="H217" s="29">
        <f>1*(-10+0.9*I216)</f>
        <v/>
      </c>
      <c r="I217" s="9" t="n">
        <v>0</v>
      </c>
      <c r="J217" s="29">
        <f>MAX(ABS(G217-G216),ABS(H217-H216))</f>
        <v/>
      </c>
      <c r="K217" s="29">
        <f>MAX(ABS(B217-G217),ABS(C217-H217))</f>
        <v/>
      </c>
    </row>
    <row r="218">
      <c r="A218" s="9" t="n">
        <v>38</v>
      </c>
      <c r="B218" s="29">
        <f>0.5*(1+0.9*B217)+0.5*(1+0.9*C217)</f>
        <v/>
      </c>
      <c r="C218" s="29">
        <f>1*(-10+0.9*D217)</f>
        <v/>
      </c>
      <c r="D218" s="9" t="n">
        <v>0</v>
      </c>
      <c r="E218" s="29">
        <f>MAX(ABS(B218-B217),ABS(C218-C217))</f>
        <v/>
      </c>
      <c r="F218" s="9" t="inlineStr"/>
      <c r="G218" s="29">
        <f>0.5*(1+0.9*G217)+0.5*(1+0.9*H217)</f>
        <v/>
      </c>
      <c r="H218" s="29">
        <f>1*(-10+0.9*I217)</f>
        <v/>
      </c>
      <c r="I218" s="9" t="n">
        <v>0</v>
      </c>
      <c r="J218" s="29">
        <f>MAX(ABS(G218-G217),ABS(H218-H217))</f>
        <v/>
      </c>
      <c r="K218" s="29">
        <f>MAX(ABS(B218-G218),ABS(C218-H218))</f>
        <v/>
      </c>
    </row>
    <row r="219">
      <c r="A219" s="9" t="n">
        <v>39</v>
      </c>
      <c r="B219" s="29">
        <f>0.5*(1+0.9*B218)+0.5*(1+0.9*C218)</f>
        <v/>
      </c>
      <c r="C219" s="29">
        <f>1*(-10+0.9*D218)</f>
        <v/>
      </c>
      <c r="D219" s="9" t="n">
        <v>0</v>
      </c>
      <c r="E219" s="29">
        <f>MAX(ABS(B219-B218),ABS(C219-C218))</f>
        <v/>
      </c>
      <c r="F219" s="9" t="inlineStr"/>
      <c r="G219" s="29">
        <f>0.5*(1+0.9*G218)+0.5*(1+0.9*H218)</f>
        <v/>
      </c>
      <c r="H219" s="29">
        <f>1*(-10+0.9*I218)</f>
        <v/>
      </c>
      <c r="I219" s="9" t="n">
        <v>0</v>
      </c>
      <c r="J219" s="29">
        <f>MAX(ABS(G219-G218),ABS(H219-H218))</f>
        <v/>
      </c>
      <c r="K219" s="29">
        <f>MAX(ABS(B219-G219),ABS(C219-H219))</f>
        <v/>
      </c>
    </row>
    <row r="220">
      <c r="A220" s="9" t="n">
        <v>40</v>
      </c>
      <c r="B220" s="29">
        <f>0.5*(1+0.9*B219)+0.5*(1+0.9*C219)</f>
        <v/>
      </c>
      <c r="C220" s="29">
        <f>1*(-10+0.9*D219)</f>
        <v/>
      </c>
      <c r="D220" s="9" t="n">
        <v>0</v>
      </c>
      <c r="E220" s="29">
        <f>MAX(ABS(B220-B219),ABS(C220-C219))</f>
        <v/>
      </c>
      <c r="F220" s="9" t="inlineStr"/>
      <c r="G220" s="29">
        <f>0.5*(1+0.9*G219)+0.5*(1+0.9*H219)</f>
        <v/>
      </c>
      <c r="H220" s="29">
        <f>1*(-10+0.9*I219)</f>
        <v/>
      </c>
      <c r="I220" s="9" t="n">
        <v>0</v>
      </c>
      <c r="J220" s="29">
        <f>MAX(ABS(G220-G219),ABS(H220-H219))</f>
        <v/>
      </c>
      <c r="K220" s="29">
        <f>MAX(ABS(B220-G220),ABS(C220-H220))</f>
        <v/>
      </c>
    </row>
    <row r="221">
      <c r="A221" s="9" t="n">
        <v>41</v>
      </c>
      <c r="B221" s="29">
        <f>0.5*(1+0.9*B220)+0.5*(1+0.9*C220)</f>
        <v/>
      </c>
      <c r="C221" s="29">
        <f>1*(-10+0.9*D220)</f>
        <v/>
      </c>
      <c r="D221" s="9" t="n">
        <v>0</v>
      </c>
      <c r="E221" s="29">
        <f>MAX(ABS(B221-B220),ABS(C221-C220))</f>
        <v/>
      </c>
      <c r="F221" s="9" t="inlineStr"/>
      <c r="G221" s="29">
        <f>0.5*(1+0.9*G220)+0.5*(1+0.9*H220)</f>
        <v/>
      </c>
      <c r="H221" s="29">
        <f>1*(-10+0.9*I220)</f>
        <v/>
      </c>
      <c r="I221" s="9" t="n">
        <v>0</v>
      </c>
      <c r="J221" s="29">
        <f>MAX(ABS(G221-G220),ABS(H221-H220))</f>
        <v/>
      </c>
      <c r="K221" s="29">
        <f>MAX(ABS(B221-G221),ABS(C221-H221))</f>
        <v/>
      </c>
    </row>
    <row r="222">
      <c r="A222" s="9" t="n">
        <v>42</v>
      </c>
      <c r="B222" s="29">
        <f>0.5*(1+0.9*B221)+0.5*(1+0.9*C221)</f>
        <v/>
      </c>
      <c r="C222" s="29">
        <f>1*(-10+0.9*D221)</f>
        <v/>
      </c>
      <c r="D222" s="9" t="n">
        <v>0</v>
      </c>
      <c r="E222" s="29">
        <f>MAX(ABS(B222-B221),ABS(C222-C221))</f>
        <v/>
      </c>
      <c r="F222" s="9" t="inlineStr"/>
      <c r="G222" s="29">
        <f>0.5*(1+0.9*G221)+0.5*(1+0.9*H221)</f>
        <v/>
      </c>
      <c r="H222" s="29">
        <f>1*(-10+0.9*I221)</f>
        <v/>
      </c>
      <c r="I222" s="9" t="n">
        <v>0</v>
      </c>
      <c r="J222" s="29">
        <f>MAX(ABS(G222-G221),ABS(H222-H221))</f>
        <v/>
      </c>
      <c r="K222" s="29">
        <f>MAX(ABS(B222-G222),ABS(C222-H222))</f>
        <v/>
      </c>
    </row>
    <row r="223">
      <c r="A223" s="9" t="n">
        <v>43</v>
      </c>
      <c r="B223" s="29">
        <f>0.5*(1+0.9*B222)+0.5*(1+0.9*C222)</f>
        <v/>
      </c>
      <c r="C223" s="29">
        <f>1*(-10+0.9*D222)</f>
        <v/>
      </c>
      <c r="D223" s="9" t="n">
        <v>0</v>
      </c>
      <c r="E223" s="29">
        <f>MAX(ABS(B223-B222),ABS(C223-C222))</f>
        <v/>
      </c>
      <c r="F223" s="9" t="inlineStr"/>
      <c r="G223" s="29">
        <f>0.5*(1+0.9*G222)+0.5*(1+0.9*H222)</f>
        <v/>
      </c>
      <c r="H223" s="29">
        <f>1*(-10+0.9*I222)</f>
        <v/>
      </c>
      <c r="I223" s="9" t="n">
        <v>0</v>
      </c>
      <c r="J223" s="29">
        <f>MAX(ABS(G223-G222),ABS(H223-H222))</f>
        <v/>
      </c>
      <c r="K223" s="29">
        <f>MAX(ABS(B223-G223),ABS(C223-H223))</f>
        <v/>
      </c>
    </row>
    <row r="224">
      <c r="A224" s="9" t="n">
        <v>44</v>
      </c>
      <c r="B224" s="29">
        <f>0.5*(1+0.9*B223)+0.5*(1+0.9*C223)</f>
        <v/>
      </c>
      <c r="C224" s="29">
        <f>1*(-10+0.9*D223)</f>
        <v/>
      </c>
      <c r="D224" s="9" t="n">
        <v>0</v>
      </c>
      <c r="E224" s="29">
        <f>MAX(ABS(B224-B223),ABS(C224-C223))</f>
        <v/>
      </c>
      <c r="F224" s="9" t="inlineStr"/>
      <c r="G224" s="29">
        <f>0.5*(1+0.9*G223)+0.5*(1+0.9*H223)</f>
        <v/>
      </c>
      <c r="H224" s="29">
        <f>1*(-10+0.9*I223)</f>
        <v/>
      </c>
      <c r="I224" s="9" t="n">
        <v>0</v>
      </c>
      <c r="J224" s="29">
        <f>MAX(ABS(G224-G223),ABS(H224-H223))</f>
        <v/>
      </c>
      <c r="K224" s="29">
        <f>MAX(ABS(B224-G224),ABS(C224-H224))</f>
        <v/>
      </c>
    </row>
    <row r="225">
      <c r="A225" s="9" t="n">
        <v>45</v>
      </c>
      <c r="B225" s="29">
        <f>0.5*(1+0.9*B224)+0.5*(1+0.9*C224)</f>
        <v/>
      </c>
      <c r="C225" s="29">
        <f>1*(-10+0.9*D224)</f>
        <v/>
      </c>
      <c r="D225" s="9" t="n">
        <v>0</v>
      </c>
      <c r="E225" s="29">
        <f>MAX(ABS(B225-B224),ABS(C225-C224))</f>
        <v/>
      </c>
      <c r="F225" s="9" t="inlineStr"/>
      <c r="G225" s="29">
        <f>0.5*(1+0.9*G224)+0.5*(1+0.9*H224)</f>
        <v/>
      </c>
      <c r="H225" s="29">
        <f>1*(-10+0.9*I224)</f>
        <v/>
      </c>
      <c r="I225" s="9" t="n">
        <v>0</v>
      </c>
      <c r="J225" s="29">
        <f>MAX(ABS(G225-G224),ABS(H225-H224))</f>
        <v/>
      </c>
      <c r="K225" s="29">
        <f>MAX(ABS(B225-G225),ABS(C225-H225))</f>
        <v/>
      </c>
    </row>
    <row r="226">
      <c r="A226" s="9" t="n">
        <v>46</v>
      </c>
      <c r="B226" s="29">
        <f>0.5*(1+0.9*B225)+0.5*(1+0.9*C225)</f>
        <v/>
      </c>
      <c r="C226" s="29">
        <f>1*(-10+0.9*D225)</f>
        <v/>
      </c>
      <c r="D226" s="9" t="n">
        <v>0</v>
      </c>
      <c r="E226" s="29">
        <f>MAX(ABS(B226-B225),ABS(C226-C225))</f>
        <v/>
      </c>
      <c r="F226" s="9" t="inlineStr"/>
      <c r="G226" s="29">
        <f>0.5*(1+0.9*G225)+0.5*(1+0.9*H225)</f>
        <v/>
      </c>
      <c r="H226" s="29">
        <f>1*(-10+0.9*I225)</f>
        <v/>
      </c>
      <c r="I226" s="9" t="n">
        <v>0</v>
      </c>
      <c r="J226" s="29">
        <f>MAX(ABS(G226-G225),ABS(H226-H225))</f>
        <v/>
      </c>
      <c r="K226" s="29">
        <f>MAX(ABS(B226-G226),ABS(C226-H226))</f>
        <v/>
      </c>
    </row>
    <row r="227">
      <c r="A227" s="9" t="n">
        <v>47</v>
      </c>
      <c r="B227" s="29">
        <f>0.5*(1+0.9*B226)+0.5*(1+0.9*C226)</f>
        <v/>
      </c>
      <c r="C227" s="29">
        <f>1*(-10+0.9*D226)</f>
        <v/>
      </c>
      <c r="D227" s="9" t="n">
        <v>0</v>
      </c>
      <c r="E227" s="29">
        <f>MAX(ABS(B227-B226),ABS(C227-C226))</f>
        <v/>
      </c>
      <c r="F227" s="9" t="inlineStr"/>
      <c r="G227" s="29">
        <f>0.5*(1+0.9*G226)+0.5*(1+0.9*H226)</f>
        <v/>
      </c>
      <c r="H227" s="29">
        <f>1*(-10+0.9*I226)</f>
        <v/>
      </c>
      <c r="I227" s="9" t="n">
        <v>0</v>
      </c>
      <c r="J227" s="29">
        <f>MAX(ABS(G227-G226),ABS(H227-H226))</f>
        <v/>
      </c>
      <c r="K227" s="29">
        <f>MAX(ABS(B227-G227),ABS(C227-H227))</f>
        <v/>
      </c>
    </row>
    <row r="228">
      <c r="A228" s="9" t="n">
        <v>48</v>
      </c>
      <c r="B228" s="29">
        <f>0.5*(1+0.9*B227)+0.5*(1+0.9*C227)</f>
        <v/>
      </c>
      <c r="C228" s="29">
        <f>1*(-10+0.9*D227)</f>
        <v/>
      </c>
      <c r="D228" s="9" t="n">
        <v>0</v>
      </c>
      <c r="E228" s="29">
        <f>MAX(ABS(B228-B227),ABS(C228-C227))</f>
        <v/>
      </c>
      <c r="F228" s="9" t="inlineStr"/>
      <c r="G228" s="29">
        <f>0.5*(1+0.9*G227)+0.5*(1+0.9*H227)</f>
        <v/>
      </c>
      <c r="H228" s="29">
        <f>1*(-10+0.9*I227)</f>
        <v/>
      </c>
      <c r="I228" s="9" t="n">
        <v>0</v>
      </c>
      <c r="J228" s="29">
        <f>MAX(ABS(G228-G227),ABS(H228-H227))</f>
        <v/>
      </c>
      <c r="K228" s="29">
        <f>MAX(ABS(B228-G228),ABS(C228-H228))</f>
        <v/>
      </c>
    </row>
    <row r="229">
      <c r="A229" s="9" t="n">
        <v>49</v>
      </c>
      <c r="B229" s="29">
        <f>0.5*(1+0.9*B228)+0.5*(1+0.9*C228)</f>
        <v/>
      </c>
      <c r="C229" s="29">
        <f>1*(-10+0.9*D228)</f>
        <v/>
      </c>
      <c r="D229" s="9" t="n">
        <v>0</v>
      </c>
      <c r="E229" s="29">
        <f>MAX(ABS(B229-B228),ABS(C229-C228))</f>
        <v/>
      </c>
      <c r="F229" s="9" t="inlineStr"/>
      <c r="G229" s="29">
        <f>0.5*(1+0.9*G228)+0.5*(1+0.9*H228)</f>
        <v/>
      </c>
      <c r="H229" s="29">
        <f>1*(-10+0.9*I228)</f>
        <v/>
      </c>
      <c r="I229" s="9" t="n">
        <v>0</v>
      </c>
      <c r="J229" s="29">
        <f>MAX(ABS(G229-G228),ABS(H229-H228))</f>
        <v/>
      </c>
      <c r="K229" s="29">
        <f>MAX(ABS(B229-G229),ABS(C229-H229))</f>
        <v/>
      </c>
    </row>
    <row r="230">
      <c r="A230" s="9" t="n">
        <v>50</v>
      </c>
      <c r="B230" s="29">
        <f>0.5*(1+0.9*B229)+0.5*(1+0.9*C229)</f>
        <v/>
      </c>
      <c r="C230" s="29">
        <f>1*(-10+0.9*D229)</f>
        <v/>
      </c>
      <c r="D230" s="9" t="n">
        <v>0</v>
      </c>
      <c r="E230" s="29">
        <f>MAX(ABS(B230-B229),ABS(C230-C229))</f>
        <v/>
      </c>
      <c r="F230" s="9" t="inlineStr"/>
      <c r="G230" s="29">
        <f>0.5*(1+0.9*G229)+0.5*(1+0.9*H229)</f>
        <v/>
      </c>
      <c r="H230" s="29">
        <f>1*(-10+0.9*I229)</f>
        <v/>
      </c>
      <c r="I230" s="9" t="n">
        <v>0</v>
      </c>
      <c r="J230" s="29">
        <f>MAX(ABS(G230-G229),ABS(H230-H229))</f>
        <v/>
      </c>
      <c r="K230" s="29">
        <f>MAX(ABS(B230-G230),ABS(C230-H230))</f>
        <v/>
      </c>
    </row>
    <row r="231"/>
    <row r="232"/>
    <row r="233">
      <c r="A233" s="32" t="inlineStr">
        <is>
          <t>Why DP Doesn't Show a 'Target' and 'Error' (Reconciliation)</t>
        </is>
      </c>
    </row>
    <row r="234">
      <c r="A234" s="4" t="inlineStr">
        <is>
          <t>You may have seen the update written as: V(s) &lt;- V(s) + alpha * [target - V(s)].  That IS what's happening here, with alpha=1.</t>
        </is>
      </c>
    </row>
    <row r="235">
      <c r="A235" s="4" t="inlineStr">
        <is>
          <t>When alpha=1: V(s) + 1*(target - V(s)) = V(s) + target - V(s) = target.  So 'V_new = target' and 'V_new = V_old + error' are THE SAME THING.</t>
        </is>
      </c>
    </row>
    <row r="236"/>
    <row r="237">
      <c r="A237" s="2" t="inlineStr">
        <is>
          <t>The Two Forms Side by Side:</t>
        </is>
      </c>
    </row>
    <row r="238">
      <c r="A238" s="6" t="inlineStr"/>
      <c r="B238" s="6" t="inlineStr">
        <is>
          <t>Error Form (explicit)</t>
        </is>
      </c>
      <c r="C238" s="6" t="inlineStr"/>
      <c r="D238" s="6" t="inlineStr">
        <is>
          <t>Direct Form (what the sheet shows)</t>
        </is>
      </c>
      <c r="E238" s="6" t="inlineStr">
        <is>
          <t>Same?</t>
        </is>
      </c>
    </row>
    <row r="239">
      <c r="A239" s="7" t="inlineStr">
        <is>
          <t>Step 1: V_old(s)</t>
        </is>
      </c>
      <c r="B239" s="9" t="inlineStr">
        <is>
          <t>V_0(Cool) = 0</t>
        </is>
      </c>
      <c r="C239" s="9" t="inlineStr"/>
      <c r="D239" s="9" t="inlineStr">
        <is>
          <t>V_0(Cool) = 0</t>
        </is>
      </c>
      <c r="E239" s="9" t="inlineStr"/>
    </row>
    <row r="240">
      <c r="A240" s="7" t="inlineStr">
        <is>
          <t>Step 2: Compute target</t>
        </is>
      </c>
      <c r="B240" s="9" t="inlineStr">
        <is>
          <t>target = SUM P*[R + gamma*V_old(s')]</t>
        </is>
      </c>
      <c r="C240" s="9" t="inlineStr"/>
      <c r="D240" s="9" t="inlineStr">
        <is>
          <t>(this IS the RHS of the formula)</t>
        </is>
      </c>
      <c r="E240" s="9" t="inlineStr"/>
    </row>
    <row r="241">
      <c r="A241" s="7" t="inlineStr">
        <is>
          <t>Step 3: Compute error</t>
        </is>
      </c>
      <c r="B241" s="9" t="inlineStr">
        <is>
          <t>error = target - V_old(s)</t>
        </is>
      </c>
      <c r="C241" s="9" t="inlineStr"/>
      <c r="D241" s="9" t="inlineStr">
        <is>
          <t>(implicit: error = target - 0 = target)</t>
        </is>
      </c>
      <c r="E241" s="9" t="inlineStr"/>
    </row>
    <row r="242">
      <c r="A242" s="7" t="inlineStr">
        <is>
          <t>Step 4: V_new(s)</t>
        </is>
      </c>
      <c r="B242" s="9" t="inlineStr">
        <is>
          <t>V_old + alpha * error = 0 + 1.0*(target - 0) = target</t>
        </is>
      </c>
      <c r="C242" s="9" t="inlineStr"/>
      <c r="D242" s="9" t="inlineStr">
        <is>
          <t>V_new = 0.5*(1+0.9*V_0(C)) + 0.5*(1+0.9*V_0(W)) = target</t>
        </is>
      </c>
      <c r="E242" s="9" t="inlineStr"/>
    </row>
    <row r="243"/>
    <row r="244">
      <c r="A244" s="2" t="inlineStr">
        <is>
          <t>Live Formula Proof (using Cautious Policy, k=1, Cool state):</t>
        </is>
      </c>
    </row>
    <row r="245">
      <c r="A245" s="6" t="inlineStr">
        <is>
          <t>Quantity</t>
        </is>
      </c>
      <c r="B245" s="6" t="inlineStr">
        <is>
          <t>Formula</t>
        </is>
      </c>
      <c r="C245" s="6" t="inlineStr">
        <is>
          <t>Value</t>
        </is>
      </c>
    </row>
    <row r="246">
      <c r="A246" s="7" t="inlineStr">
        <is>
          <t>V_old = V_0(Cool)</t>
        </is>
      </c>
      <c r="B246" s="29">
        <f>B9</f>
        <v/>
      </c>
      <c r="C246" s="29">
        <f>B9</f>
        <v/>
      </c>
    </row>
    <row r="247">
      <c r="A247" s="7" t="inlineStr">
        <is>
          <t>target = SUM P*[R+g*V_old]</t>
        </is>
      </c>
      <c r="B247" s="29">
        <f>0.5*(1+0.9*B9)+0.5*(1+0.9*C9)</f>
        <v/>
      </c>
      <c r="C247" s="29">
        <f>0.5*(1+0.9*B9)+0.5*(1+0.9*C9)</f>
        <v/>
      </c>
    </row>
    <row r="248">
      <c r="A248" s="7" t="inlineStr">
        <is>
          <t>error = target - V_old</t>
        </is>
      </c>
      <c r="B248" s="29">
        <f>C247-C246</f>
        <v/>
      </c>
      <c r="C248" s="29">
        <f>C247-C246</f>
        <v/>
      </c>
    </row>
    <row r="249">
      <c r="A249" s="34" t="inlineStr">
        <is>
          <t>ERROR FORM: V_old + 1.0*error</t>
        </is>
      </c>
      <c r="B249" s="29">
        <f>C246+1.0*C248</f>
        <v/>
      </c>
      <c r="C249" s="29">
        <f>C246+1.0*C248</f>
        <v/>
      </c>
    </row>
    <row r="250">
      <c r="A250" s="35" t="inlineStr">
        <is>
          <t>DIRECT FORM: V_1(Cool) from table</t>
        </is>
      </c>
      <c r="B250" s="29">
        <f>B10</f>
        <v/>
      </c>
      <c r="C250" s="29">
        <f>B10</f>
        <v/>
      </c>
    </row>
    <row r="251">
      <c r="A251" s="36" t="inlineStr">
        <is>
          <t>Same result?</t>
        </is>
      </c>
      <c r="B251" s="37">
        <f>IF(ABS(C249-C250)&lt;0.0001,"YES — identical!","NO")</f>
        <v/>
      </c>
    </row>
    <row r="252"/>
    <row r="253">
      <c r="A253" s="2" t="inlineStr">
        <is>
          <t>Why DP Uses alpha=1 But TD Uses alpha=0.1:</t>
        </is>
      </c>
    </row>
    <row r="254">
      <c r="A254" s="14" t="inlineStr">
        <is>
          <t>DP (alpha=1)</t>
        </is>
      </c>
      <c r="B254" s="9" t="inlineStr">
        <is>
          <t>Target is EXACT: computed from the FULL model (all transitions, all probabilities). No noise, no sampling error.</t>
        </is>
      </c>
      <c r="C254" s="9" t="inlineStr">
        <is>
          <t>We can jump directly to the target. No need to inch — the target is correct (for the current V estimates).</t>
        </is>
      </c>
    </row>
    <row r="255">
      <c r="A255" s="14" t="inlineStr">
        <is>
          <t>TD (alpha=0.1)</t>
        </is>
      </c>
      <c r="B255" s="9" t="inlineStr">
        <is>
          <t>Target is a NOISY SAMPLE: based on ONE random transition (s,a,r,s'). Different episodes give different targets.</t>
        </is>
      </c>
      <c r="C255" s="9" t="inlineStr">
        <is>
          <t>Must inch slowly (alpha=0.1) to average out the noise. Jumping to one sample's target would be volatile.</t>
        </is>
      </c>
    </row>
    <row r="256">
      <c r="A256" s="14" t="inlineStr">
        <is>
          <t>MC (alpha=1/N)</t>
        </is>
      </c>
      <c r="B256" s="9" t="inlineStr">
        <is>
          <t>Target is the ACTUAL return G_t from one episode. Unbiased but high variance across episodes.</t>
        </is>
      </c>
      <c r="C256" s="9" t="inlineStr">
        <is>
          <t>Averages all observed returns. Equivalent to alpha=1/N where N is the visit count.</t>
        </is>
      </c>
    </row>
    <row r="257"/>
    <row r="258">
      <c r="A258" s="4" t="inlineStr">
        <is>
          <t>BOTTOM LINE: V_new = target (DP) and V_new = V_old + alpha*(target - V_old) (TD) are the same algorithm with different alpha.</t>
        </is>
      </c>
    </row>
    <row r="259">
      <c r="A259" s="4" t="inlineStr">
        <is>
          <t>DP iterates because V_k(s') in the target is itself an estimate — it takes MULTIPLE SWEEPS for these estimates to propagate and converge.</t>
        </is>
      </c>
    </row>
  </sheetData>
  <mergeCells count="15">
    <mergeCell ref="A234:K234"/>
    <mergeCell ref="A6:K6"/>
    <mergeCell ref="A258:K258"/>
    <mergeCell ref="A3:K3"/>
    <mergeCell ref="A64:K64"/>
    <mergeCell ref="A7:K7"/>
    <mergeCell ref="A235:K235"/>
    <mergeCell ref="A2:K2"/>
    <mergeCell ref="A63:K63"/>
    <mergeCell ref="A121:K121"/>
    <mergeCell ref="A178:K178"/>
    <mergeCell ref="A177:K177"/>
    <mergeCell ref="A1:K1"/>
    <mergeCell ref="A259:K259"/>
    <mergeCell ref="A120:K1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58" customWidth="1" min="1" max="1"/>
    <col width="37" customWidth="1" min="2" max="2"/>
    <col width="37" customWidth="1" min="3" max="3"/>
    <col width="50" customWidth="1" min="4" max="4"/>
    <col width="37" customWidth="1" min="5" max="5"/>
    <col width="20" customWidth="1" min="6" max="6"/>
    <col width="18" customWidth="1" min="7" max="7"/>
    <col width="14" customWidth="1" min="8" max="8"/>
    <col width="32" customWidth="1" min="9" max="9"/>
    <col width="32" customWidth="1" min="10" max="10"/>
    <col width="3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DP — Value Iteration: Synchronous vs In-Place</t>
        </is>
      </c>
    </row>
    <row r="2">
      <c r="A2" s="4" t="inlineStr">
        <is>
          <t>Synchronous: V_{k+1}(s) = max_a Σ P·[R+γ·V_k(s')] using ALL values from previous sweep k.</t>
        </is>
      </c>
    </row>
    <row r="3">
      <c r="A3" s="4" t="inlineStr">
        <is>
          <t>In-Place: V(s) ← max_a Σ P·[R+γ·V(s')] using latest available V — Cool updated first, Warm uses NEW Cool within same sweep.</t>
        </is>
      </c>
    </row>
    <row r="4">
      <c r="A4" s="4" t="inlineStr">
        <is>
          <t>Both converge to the same V*, Q*, π* — in-place often converges faster (fewer iterations for same |ΔV|).</t>
        </is>
      </c>
    </row>
    <row r="5"/>
    <row r="6">
      <c r="A6" s="2" t="inlineStr">
        <is>
          <t>Synchronous Value Iteration</t>
        </is>
      </c>
    </row>
    <row r="7">
      <c r="A7" s="6" t="inlineStr">
        <is>
          <t>k</t>
        </is>
      </c>
      <c r="B7" s="6" t="inlineStr">
        <is>
          <t>Q(C,S) ✱</t>
        </is>
      </c>
      <c r="C7" s="6" t="inlineStr">
        <is>
          <t>Q(C,F) ✱</t>
        </is>
      </c>
      <c r="D7" s="6" t="inlineStr">
        <is>
          <t>V*(C) ✱</t>
        </is>
      </c>
      <c r="E7" s="6" t="inlineStr">
        <is>
          <t>Q(W,S) ✱</t>
        </is>
      </c>
      <c r="F7" s="6" t="inlineStr">
        <is>
          <t>Q(W,F) ✱</t>
        </is>
      </c>
      <c r="G7" s="6" t="inlineStr">
        <is>
          <t>V*(W) ✱</t>
        </is>
      </c>
      <c r="H7" s="6" t="inlineStr">
        <is>
          <t>V*(OH)</t>
        </is>
      </c>
      <c r="I7" s="6" t="inlineStr">
        <is>
          <t>π*(C) ✱</t>
        </is>
      </c>
      <c r="J7" s="6" t="inlineStr">
        <is>
          <t>π*(W) ✱</t>
        </is>
      </c>
      <c r="K7" s="6" t="inlineStr">
        <is>
          <t>|ΔV| ✱</t>
        </is>
      </c>
    </row>
    <row r="8">
      <c r="A8" s="9" t="n">
        <v>0</v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inlineStr">
        <is>
          <t>—</t>
        </is>
      </c>
      <c r="J8" s="9" t="inlineStr">
        <is>
          <t>—</t>
        </is>
      </c>
      <c r="K8" s="9" t="inlineStr">
        <is>
          <t>—</t>
        </is>
      </c>
    </row>
    <row r="9">
      <c r="A9" s="9" t="n">
        <v>1</v>
      </c>
      <c r="B9" s="29">
        <f>0.5*(1+0.9*D8)+0.5*(1+0.9*G8)</f>
        <v/>
      </c>
      <c r="C9" s="29">
        <f>0.5*(2+0.9*D8)+0.5*(2+0.9*G8)</f>
        <v/>
      </c>
      <c r="D9" s="29">
        <f>MAX(B9,C9)</f>
        <v/>
      </c>
      <c r="E9" s="29">
        <f>0.5*(1+0.9*D8)+0.5*(1+0.9*G8)</f>
        <v/>
      </c>
      <c r="F9" s="29">
        <f>1*(-10+0.9*H8)</f>
        <v/>
      </c>
      <c r="G9" s="29">
        <f>MAX(E9,F9)</f>
        <v/>
      </c>
      <c r="H9" s="9" t="n">
        <v>0</v>
      </c>
      <c r="I9" s="29">
        <f>IF(C9&gt;=B9,"Fast","Slow")</f>
        <v/>
      </c>
      <c r="J9" s="29">
        <f>IF(F9&gt;=E9,"Fast","Slow")</f>
        <v/>
      </c>
      <c r="K9" s="29">
        <f>MAX(ABS(D9-D8),ABS(G9-G8))</f>
        <v/>
      </c>
    </row>
    <row r="10">
      <c r="A10" s="9" t="n">
        <v>2</v>
      </c>
      <c r="B10" s="29">
        <f>0.5*(1+0.9*D9)+0.5*(1+0.9*G9)</f>
        <v/>
      </c>
      <c r="C10" s="29">
        <f>0.5*(2+0.9*D9)+0.5*(2+0.9*G9)</f>
        <v/>
      </c>
      <c r="D10" s="29">
        <f>MAX(B10,C10)</f>
        <v/>
      </c>
      <c r="E10" s="29">
        <f>0.5*(1+0.9*D9)+0.5*(1+0.9*G9)</f>
        <v/>
      </c>
      <c r="F10" s="29">
        <f>1*(-10+0.9*H9)</f>
        <v/>
      </c>
      <c r="G10" s="29">
        <f>MAX(E10,F10)</f>
        <v/>
      </c>
      <c r="H10" s="9" t="n">
        <v>0</v>
      </c>
      <c r="I10" s="29">
        <f>IF(C10&gt;=B10,"Fast","Slow")</f>
        <v/>
      </c>
      <c r="J10" s="29">
        <f>IF(F10&gt;=E10,"Fast","Slow")</f>
        <v/>
      </c>
      <c r="K10" s="29">
        <f>MAX(ABS(D10-D9),ABS(G10-G9))</f>
        <v/>
      </c>
    </row>
    <row r="11">
      <c r="A11" s="9" t="n">
        <v>3</v>
      </c>
      <c r="B11" s="29">
        <f>0.5*(1+0.9*D10)+0.5*(1+0.9*G10)</f>
        <v/>
      </c>
      <c r="C11" s="29">
        <f>0.5*(2+0.9*D10)+0.5*(2+0.9*G10)</f>
        <v/>
      </c>
      <c r="D11" s="29">
        <f>MAX(B11,C11)</f>
        <v/>
      </c>
      <c r="E11" s="29">
        <f>0.5*(1+0.9*D10)+0.5*(1+0.9*G10)</f>
        <v/>
      </c>
      <c r="F11" s="29">
        <f>1*(-10+0.9*H10)</f>
        <v/>
      </c>
      <c r="G11" s="29">
        <f>MAX(E11,F11)</f>
        <v/>
      </c>
      <c r="H11" s="9" t="n">
        <v>0</v>
      </c>
      <c r="I11" s="29">
        <f>IF(C11&gt;=B11,"Fast","Slow")</f>
        <v/>
      </c>
      <c r="J11" s="29">
        <f>IF(F11&gt;=E11,"Fast","Slow")</f>
        <v/>
      </c>
      <c r="K11" s="29">
        <f>MAX(ABS(D11-D10),ABS(G11-G10))</f>
        <v/>
      </c>
    </row>
    <row r="12">
      <c r="A12" s="9" t="n">
        <v>4</v>
      </c>
      <c r="B12" s="29">
        <f>0.5*(1+0.9*D11)+0.5*(1+0.9*G11)</f>
        <v/>
      </c>
      <c r="C12" s="29">
        <f>0.5*(2+0.9*D11)+0.5*(2+0.9*G11)</f>
        <v/>
      </c>
      <c r="D12" s="29">
        <f>MAX(B12,C12)</f>
        <v/>
      </c>
      <c r="E12" s="29">
        <f>0.5*(1+0.9*D11)+0.5*(1+0.9*G11)</f>
        <v/>
      </c>
      <c r="F12" s="29">
        <f>1*(-10+0.9*H11)</f>
        <v/>
      </c>
      <c r="G12" s="29">
        <f>MAX(E12,F12)</f>
        <v/>
      </c>
      <c r="H12" s="9" t="n">
        <v>0</v>
      </c>
      <c r="I12" s="29">
        <f>IF(C12&gt;=B12,"Fast","Slow")</f>
        <v/>
      </c>
      <c r="J12" s="29">
        <f>IF(F12&gt;=E12,"Fast","Slow")</f>
        <v/>
      </c>
      <c r="K12" s="29">
        <f>MAX(ABS(D12-D11),ABS(G12-G11))</f>
        <v/>
      </c>
    </row>
    <row r="13">
      <c r="A13" s="9" t="n">
        <v>5</v>
      </c>
      <c r="B13" s="29">
        <f>0.5*(1+0.9*D12)+0.5*(1+0.9*G12)</f>
        <v/>
      </c>
      <c r="C13" s="29">
        <f>0.5*(2+0.9*D12)+0.5*(2+0.9*G12)</f>
        <v/>
      </c>
      <c r="D13" s="29">
        <f>MAX(B13,C13)</f>
        <v/>
      </c>
      <c r="E13" s="29">
        <f>0.5*(1+0.9*D12)+0.5*(1+0.9*G12)</f>
        <v/>
      </c>
      <c r="F13" s="29">
        <f>1*(-10+0.9*H12)</f>
        <v/>
      </c>
      <c r="G13" s="29">
        <f>MAX(E13,F13)</f>
        <v/>
      </c>
      <c r="H13" s="9" t="n">
        <v>0</v>
      </c>
      <c r="I13" s="29">
        <f>IF(C13&gt;=B13,"Fast","Slow")</f>
        <v/>
      </c>
      <c r="J13" s="29">
        <f>IF(F13&gt;=E13,"Fast","Slow")</f>
        <v/>
      </c>
      <c r="K13" s="29">
        <f>MAX(ABS(D13-D12),ABS(G13-G12))</f>
        <v/>
      </c>
    </row>
    <row r="14">
      <c r="A14" s="9" t="n">
        <v>6</v>
      </c>
      <c r="B14" s="29">
        <f>0.5*(1+0.9*D13)+0.5*(1+0.9*G13)</f>
        <v/>
      </c>
      <c r="C14" s="29">
        <f>0.5*(2+0.9*D13)+0.5*(2+0.9*G13)</f>
        <v/>
      </c>
      <c r="D14" s="29">
        <f>MAX(B14,C14)</f>
        <v/>
      </c>
      <c r="E14" s="29">
        <f>0.5*(1+0.9*D13)+0.5*(1+0.9*G13)</f>
        <v/>
      </c>
      <c r="F14" s="29">
        <f>1*(-10+0.9*H13)</f>
        <v/>
      </c>
      <c r="G14" s="29">
        <f>MAX(E14,F14)</f>
        <v/>
      </c>
      <c r="H14" s="9" t="n">
        <v>0</v>
      </c>
      <c r="I14" s="29">
        <f>IF(C14&gt;=B14,"Fast","Slow")</f>
        <v/>
      </c>
      <c r="J14" s="29">
        <f>IF(F14&gt;=E14,"Fast","Slow")</f>
        <v/>
      </c>
      <c r="K14" s="29">
        <f>MAX(ABS(D14-D13),ABS(G14-G13))</f>
        <v/>
      </c>
    </row>
    <row r="15">
      <c r="A15" s="9" t="n">
        <v>7</v>
      </c>
      <c r="B15" s="29">
        <f>0.5*(1+0.9*D14)+0.5*(1+0.9*G14)</f>
        <v/>
      </c>
      <c r="C15" s="29">
        <f>0.5*(2+0.9*D14)+0.5*(2+0.9*G14)</f>
        <v/>
      </c>
      <c r="D15" s="29">
        <f>MAX(B15,C15)</f>
        <v/>
      </c>
      <c r="E15" s="29">
        <f>0.5*(1+0.9*D14)+0.5*(1+0.9*G14)</f>
        <v/>
      </c>
      <c r="F15" s="29">
        <f>1*(-10+0.9*H14)</f>
        <v/>
      </c>
      <c r="G15" s="29">
        <f>MAX(E15,F15)</f>
        <v/>
      </c>
      <c r="H15" s="9" t="n">
        <v>0</v>
      </c>
      <c r="I15" s="29">
        <f>IF(C15&gt;=B15,"Fast","Slow")</f>
        <v/>
      </c>
      <c r="J15" s="29">
        <f>IF(F15&gt;=E15,"Fast","Slow")</f>
        <v/>
      </c>
      <c r="K15" s="29">
        <f>MAX(ABS(D15-D14),ABS(G15-G14))</f>
        <v/>
      </c>
    </row>
    <row r="16">
      <c r="A16" s="9" t="n">
        <v>8</v>
      </c>
      <c r="B16" s="29">
        <f>0.5*(1+0.9*D15)+0.5*(1+0.9*G15)</f>
        <v/>
      </c>
      <c r="C16" s="29">
        <f>0.5*(2+0.9*D15)+0.5*(2+0.9*G15)</f>
        <v/>
      </c>
      <c r="D16" s="29">
        <f>MAX(B16,C16)</f>
        <v/>
      </c>
      <c r="E16" s="29">
        <f>0.5*(1+0.9*D15)+0.5*(1+0.9*G15)</f>
        <v/>
      </c>
      <c r="F16" s="29">
        <f>1*(-10+0.9*H15)</f>
        <v/>
      </c>
      <c r="G16" s="29">
        <f>MAX(E16,F16)</f>
        <v/>
      </c>
      <c r="H16" s="9" t="n">
        <v>0</v>
      </c>
      <c r="I16" s="29">
        <f>IF(C16&gt;=B16,"Fast","Slow")</f>
        <v/>
      </c>
      <c r="J16" s="29">
        <f>IF(F16&gt;=E16,"Fast","Slow")</f>
        <v/>
      </c>
      <c r="K16" s="29">
        <f>MAX(ABS(D16-D15),ABS(G16-G15))</f>
        <v/>
      </c>
    </row>
    <row r="17">
      <c r="A17" s="9" t="n">
        <v>9</v>
      </c>
      <c r="B17" s="29">
        <f>0.5*(1+0.9*D16)+0.5*(1+0.9*G16)</f>
        <v/>
      </c>
      <c r="C17" s="29">
        <f>0.5*(2+0.9*D16)+0.5*(2+0.9*G16)</f>
        <v/>
      </c>
      <c r="D17" s="29">
        <f>MAX(B17,C17)</f>
        <v/>
      </c>
      <c r="E17" s="29">
        <f>0.5*(1+0.9*D16)+0.5*(1+0.9*G16)</f>
        <v/>
      </c>
      <c r="F17" s="29">
        <f>1*(-10+0.9*H16)</f>
        <v/>
      </c>
      <c r="G17" s="29">
        <f>MAX(E17,F17)</f>
        <v/>
      </c>
      <c r="H17" s="9" t="n">
        <v>0</v>
      </c>
      <c r="I17" s="29">
        <f>IF(C17&gt;=B17,"Fast","Slow")</f>
        <v/>
      </c>
      <c r="J17" s="29">
        <f>IF(F17&gt;=E17,"Fast","Slow")</f>
        <v/>
      </c>
      <c r="K17" s="29">
        <f>MAX(ABS(D17-D16),ABS(G17-G16))</f>
        <v/>
      </c>
    </row>
    <row r="18">
      <c r="A18" s="9" t="n">
        <v>10</v>
      </c>
      <c r="B18" s="29">
        <f>0.5*(1+0.9*D17)+0.5*(1+0.9*G17)</f>
        <v/>
      </c>
      <c r="C18" s="29">
        <f>0.5*(2+0.9*D17)+0.5*(2+0.9*G17)</f>
        <v/>
      </c>
      <c r="D18" s="29">
        <f>MAX(B18,C18)</f>
        <v/>
      </c>
      <c r="E18" s="29">
        <f>0.5*(1+0.9*D17)+0.5*(1+0.9*G17)</f>
        <v/>
      </c>
      <c r="F18" s="29">
        <f>1*(-10+0.9*H17)</f>
        <v/>
      </c>
      <c r="G18" s="29">
        <f>MAX(E18,F18)</f>
        <v/>
      </c>
      <c r="H18" s="9" t="n">
        <v>0</v>
      </c>
      <c r="I18" s="29">
        <f>IF(C18&gt;=B18,"Fast","Slow")</f>
        <v/>
      </c>
      <c r="J18" s="29">
        <f>IF(F18&gt;=E18,"Fast","Slow")</f>
        <v/>
      </c>
      <c r="K18" s="29">
        <f>MAX(ABS(D18-D17),ABS(G18-G17))</f>
        <v/>
      </c>
    </row>
    <row r="19">
      <c r="A19" s="9" t="n">
        <v>11</v>
      </c>
      <c r="B19" s="29">
        <f>0.5*(1+0.9*D18)+0.5*(1+0.9*G18)</f>
        <v/>
      </c>
      <c r="C19" s="29">
        <f>0.5*(2+0.9*D18)+0.5*(2+0.9*G18)</f>
        <v/>
      </c>
      <c r="D19" s="29">
        <f>MAX(B19,C19)</f>
        <v/>
      </c>
      <c r="E19" s="29">
        <f>0.5*(1+0.9*D18)+0.5*(1+0.9*G18)</f>
        <v/>
      </c>
      <c r="F19" s="29">
        <f>1*(-10+0.9*H18)</f>
        <v/>
      </c>
      <c r="G19" s="29">
        <f>MAX(E19,F19)</f>
        <v/>
      </c>
      <c r="H19" s="9" t="n">
        <v>0</v>
      </c>
      <c r="I19" s="29">
        <f>IF(C19&gt;=B19,"Fast","Slow")</f>
        <v/>
      </c>
      <c r="J19" s="29">
        <f>IF(F19&gt;=E19,"Fast","Slow")</f>
        <v/>
      </c>
      <c r="K19" s="29">
        <f>MAX(ABS(D19-D18),ABS(G19-G18))</f>
        <v/>
      </c>
    </row>
    <row r="20">
      <c r="A20" s="9" t="n">
        <v>12</v>
      </c>
      <c r="B20" s="29">
        <f>0.5*(1+0.9*D19)+0.5*(1+0.9*G19)</f>
        <v/>
      </c>
      <c r="C20" s="29">
        <f>0.5*(2+0.9*D19)+0.5*(2+0.9*G19)</f>
        <v/>
      </c>
      <c r="D20" s="29">
        <f>MAX(B20,C20)</f>
        <v/>
      </c>
      <c r="E20" s="29">
        <f>0.5*(1+0.9*D19)+0.5*(1+0.9*G19)</f>
        <v/>
      </c>
      <c r="F20" s="29">
        <f>1*(-10+0.9*H19)</f>
        <v/>
      </c>
      <c r="G20" s="29">
        <f>MAX(E20,F20)</f>
        <v/>
      </c>
      <c r="H20" s="9" t="n">
        <v>0</v>
      </c>
      <c r="I20" s="29">
        <f>IF(C20&gt;=B20,"Fast","Slow")</f>
        <v/>
      </c>
      <c r="J20" s="29">
        <f>IF(F20&gt;=E20,"Fast","Slow")</f>
        <v/>
      </c>
      <c r="K20" s="29">
        <f>MAX(ABS(D20-D19),ABS(G20-G19))</f>
        <v/>
      </c>
    </row>
    <row r="21">
      <c r="A21" s="9" t="n">
        <v>13</v>
      </c>
      <c r="B21" s="29">
        <f>0.5*(1+0.9*D20)+0.5*(1+0.9*G20)</f>
        <v/>
      </c>
      <c r="C21" s="29">
        <f>0.5*(2+0.9*D20)+0.5*(2+0.9*G20)</f>
        <v/>
      </c>
      <c r="D21" s="29">
        <f>MAX(B21,C21)</f>
        <v/>
      </c>
      <c r="E21" s="29">
        <f>0.5*(1+0.9*D20)+0.5*(1+0.9*G20)</f>
        <v/>
      </c>
      <c r="F21" s="29">
        <f>1*(-10+0.9*H20)</f>
        <v/>
      </c>
      <c r="G21" s="29">
        <f>MAX(E21,F21)</f>
        <v/>
      </c>
      <c r="H21" s="9" t="n">
        <v>0</v>
      </c>
      <c r="I21" s="29">
        <f>IF(C21&gt;=B21,"Fast","Slow")</f>
        <v/>
      </c>
      <c r="J21" s="29">
        <f>IF(F21&gt;=E21,"Fast","Slow")</f>
        <v/>
      </c>
      <c r="K21" s="29">
        <f>MAX(ABS(D21-D20),ABS(G21-G20))</f>
        <v/>
      </c>
    </row>
    <row r="22">
      <c r="A22" s="9" t="n">
        <v>14</v>
      </c>
      <c r="B22" s="29">
        <f>0.5*(1+0.9*D21)+0.5*(1+0.9*G21)</f>
        <v/>
      </c>
      <c r="C22" s="29">
        <f>0.5*(2+0.9*D21)+0.5*(2+0.9*G21)</f>
        <v/>
      </c>
      <c r="D22" s="29">
        <f>MAX(B22,C22)</f>
        <v/>
      </c>
      <c r="E22" s="29">
        <f>0.5*(1+0.9*D21)+0.5*(1+0.9*G21)</f>
        <v/>
      </c>
      <c r="F22" s="29">
        <f>1*(-10+0.9*H21)</f>
        <v/>
      </c>
      <c r="G22" s="29">
        <f>MAX(E22,F22)</f>
        <v/>
      </c>
      <c r="H22" s="9" t="n">
        <v>0</v>
      </c>
      <c r="I22" s="29">
        <f>IF(C22&gt;=B22,"Fast","Slow")</f>
        <v/>
      </c>
      <c r="J22" s="29">
        <f>IF(F22&gt;=E22,"Fast","Slow")</f>
        <v/>
      </c>
      <c r="K22" s="29">
        <f>MAX(ABS(D22-D21),ABS(G22-G21))</f>
        <v/>
      </c>
    </row>
    <row r="23">
      <c r="A23" s="9" t="n">
        <v>15</v>
      </c>
      <c r="B23" s="29">
        <f>0.5*(1+0.9*D22)+0.5*(1+0.9*G22)</f>
        <v/>
      </c>
      <c r="C23" s="29">
        <f>0.5*(2+0.9*D22)+0.5*(2+0.9*G22)</f>
        <v/>
      </c>
      <c r="D23" s="29">
        <f>MAX(B23,C23)</f>
        <v/>
      </c>
      <c r="E23" s="29">
        <f>0.5*(1+0.9*D22)+0.5*(1+0.9*G22)</f>
        <v/>
      </c>
      <c r="F23" s="29">
        <f>1*(-10+0.9*H22)</f>
        <v/>
      </c>
      <c r="G23" s="29">
        <f>MAX(E23,F23)</f>
        <v/>
      </c>
      <c r="H23" s="9" t="n">
        <v>0</v>
      </c>
      <c r="I23" s="29">
        <f>IF(C23&gt;=B23,"Fast","Slow")</f>
        <v/>
      </c>
      <c r="J23" s="29">
        <f>IF(F23&gt;=E23,"Fast","Slow")</f>
        <v/>
      </c>
      <c r="K23" s="29">
        <f>MAX(ABS(D23-D22),ABS(G23-G22))</f>
        <v/>
      </c>
    </row>
    <row r="24">
      <c r="A24" s="9" t="n">
        <v>16</v>
      </c>
      <c r="B24" s="29">
        <f>0.5*(1+0.9*D23)+0.5*(1+0.9*G23)</f>
        <v/>
      </c>
      <c r="C24" s="29">
        <f>0.5*(2+0.9*D23)+0.5*(2+0.9*G23)</f>
        <v/>
      </c>
      <c r="D24" s="29">
        <f>MAX(B24,C24)</f>
        <v/>
      </c>
      <c r="E24" s="29">
        <f>0.5*(1+0.9*D23)+0.5*(1+0.9*G23)</f>
        <v/>
      </c>
      <c r="F24" s="29">
        <f>1*(-10+0.9*H23)</f>
        <v/>
      </c>
      <c r="G24" s="29">
        <f>MAX(E24,F24)</f>
        <v/>
      </c>
      <c r="H24" s="9" t="n">
        <v>0</v>
      </c>
      <c r="I24" s="29">
        <f>IF(C24&gt;=B24,"Fast","Slow")</f>
        <v/>
      </c>
      <c r="J24" s="29">
        <f>IF(F24&gt;=E24,"Fast","Slow")</f>
        <v/>
      </c>
      <c r="K24" s="29">
        <f>MAX(ABS(D24-D23),ABS(G24-G23))</f>
        <v/>
      </c>
    </row>
    <row r="25">
      <c r="A25" s="9" t="n">
        <v>17</v>
      </c>
      <c r="B25" s="29">
        <f>0.5*(1+0.9*D24)+0.5*(1+0.9*G24)</f>
        <v/>
      </c>
      <c r="C25" s="29">
        <f>0.5*(2+0.9*D24)+0.5*(2+0.9*G24)</f>
        <v/>
      </c>
      <c r="D25" s="29">
        <f>MAX(B25,C25)</f>
        <v/>
      </c>
      <c r="E25" s="29">
        <f>0.5*(1+0.9*D24)+0.5*(1+0.9*G24)</f>
        <v/>
      </c>
      <c r="F25" s="29">
        <f>1*(-10+0.9*H24)</f>
        <v/>
      </c>
      <c r="G25" s="29">
        <f>MAX(E25,F25)</f>
        <v/>
      </c>
      <c r="H25" s="9" t="n">
        <v>0</v>
      </c>
      <c r="I25" s="29">
        <f>IF(C25&gt;=B25,"Fast","Slow")</f>
        <v/>
      </c>
      <c r="J25" s="29">
        <f>IF(F25&gt;=E25,"Fast","Slow")</f>
        <v/>
      </c>
      <c r="K25" s="29">
        <f>MAX(ABS(D25-D24),ABS(G25-G24))</f>
        <v/>
      </c>
    </row>
    <row r="26">
      <c r="A26" s="9" t="n">
        <v>18</v>
      </c>
      <c r="B26" s="29">
        <f>0.5*(1+0.9*D25)+0.5*(1+0.9*G25)</f>
        <v/>
      </c>
      <c r="C26" s="29">
        <f>0.5*(2+0.9*D25)+0.5*(2+0.9*G25)</f>
        <v/>
      </c>
      <c r="D26" s="29">
        <f>MAX(B26,C26)</f>
        <v/>
      </c>
      <c r="E26" s="29">
        <f>0.5*(1+0.9*D25)+0.5*(1+0.9*G25)</f>
        <v/>
      </c>
      <c r="F26" s="29">
        <f>1*(-10+0.9*H25)</f>
        <v/>
      </c>
      <c r="G26" s="29">
        <f>MAX(E26,F26)</f>
        <v/>
      </c>
      <c r="H26" s="9" t="n">
        <v>0</v>
      </c>
      <c r="I26" s="29">
        <f>IF(C26&gt;=B26,"Fast","Slow")</f>
        <v/>
      </c>
      <c r="J26" s="29">
        <f>IF(F26&gt;=E26,"Fast","Slow")</f>
        <v/>
      </c>
      <c r="K26" s="29">
        <f>MAX(ABS(D26-D25),ABS(G26-G25))</f>
        <v/>
      </c>
    </row>
    <row r="27">
      <c r="A27" s="9" t="n">
        <v>19</v>
      </c>
      <c r="B27" s="29">
        <f>0.5*(1+0.9*D26)+0.5*(1+0.9*G26)</f>
        <v/>
      </c>
      <c r="C27" s="29">
        <f>0.5*(2+0.9*D26)+0.5*(2+0.9*G26)</f>
        <v/>
      </c>
      <c r="D27" s="29">
        <f>MAX(B27,C27)</f>
        <v/>
      </c>
      <c r="E27" s="29">
        <f>0.5*(1+0.9*D26)+0.5*(1+0.9*G26)</f>
        <v/>
      </c>
      <c r="F27" s="29">
        <f>1*(-10+0.9*H26)</f>
        <v/>
      </c>
      <c r="G27" s="29">
        <f>MAX(E27,F27)</f>
        <v/>
      </c>
      <c r="H27" s="9" t="n">
        <v>0</v>
      </c>
      <c r="I27" s="29">
        <f>IF(C27&gt;=B27,"Fast","Slow")</f>
        <v/>
      </c>
      <c r="J27" s="29">
        <f>IF(F27&gt;=E27,"Fast","Slow")</f>
        <v/>
      </c>
      <c r="K27" s="29">
        <f>MAX(ABS(D27-D26),ABS(G27-G26))</f>
        <v/>
      </c>
    </row>
    <row r="28">
      <c r="A28" s="9" t="n">
        <v>20</v>
      </c>
      <c r="B28" s="29">
        <f>0.5*(1+0.9*D27)+0.5*(1+0.9*G27)</f>
        <v/>
      </c>
      <c r="C28" s="29">
        <f>0.5*(2+0.9*D27)+0.5*(2+0.9*G27)</f>
        <v/>
      </c>
      <c r="D28" s="29">
        <f>MAX(B28,C28)</f>
        <v/>
      </c>
      <c r="E28" s="29">
        <f>0.5*(1+0.9*D27)+0.5*(1+0.9*G27)</f>
        <v/>
      </c>
      <c r="F28" s="29">
        <f>1*(-10+0.9*H27)</f>
        <v/>
      </c>
      <c r="G28" s="29">
        <f>MAX(E28,F28)</f>
        <v/>
      </c>
      <c r="H28" s="9" t="n">
        <v>0</v>
      </c>
      <c r="I28" s="29">
        <f>IF(C28&gt;=B28,"Fast","Slow")</f>
        <v/>
      </c>
      <c r="J28" s="29">
        <f>IF(F28&gt;=E28,"Fast","Slow")</f>
        <v/>
      </c>
      <c r="K28" s="29">
        <f>MAX(ABS(D28-D27),ABS(G28-G27))</f>
        <v/>
      </c>
    </row>
    <row r="29">
      <c r="A29" s="9" t="n">
        <v>21</v>
      </c>
      <c r="B29" s="29">
        <f>0.5*(1+0.9*D28)+0.5*(1+0.9*G28)</f>
        <v/>
      </c>
      <c r="C29" s="29">
        <f>0.5*(2+0.9*D28)+0.5*(2+0.9*G28)</f>
        <v/>
      </c>
      <c r="D29" s="29">
        <f>MAX(B29,C29)</f>
        <v/>
      </c>
      <c r="E29" s="29">
        <f>0.5*(1+0.9*D28)+0.5*(1+0.9*G28)</f>
        <v/>
      </c>
      <c r="F29" s="29">
        <f>1*(-10+0.9*H28)</f>
        <v/>
      </c>
      <c r="G29" s="29">
        <f>MAX(E29,F29)</f>
        <v/>
      </c>
      <c r="H29" s="9" t="n">
        <v>0</v>
      </c>
      <c r="I29" s="29">
        <f>IF(C29&gt;=B29,"Fast","Slow")</f>
        <v/>
      </c>
      <c r="J29" s="29">
        <f>IF(F29&gt;=E29,"Fast","Slow")</f>
        <v/>
      </c>
      <c r="K29" s="29">
        <f>MAX(ABS(D29-D28),ABS(G29-G28))</f>
        <v/>
      </c>
    </row>
    <row r="30">
      <c r="A30" s="9" t="n">
        <v>22</v>
      </c>
      <c r="B30" s="29">
        <f>0.5*(1+0.9*D29)+0.5*(1+0.9*G29)</f>
        <v/>
      </c>
      <c r="C30" s="29">
        <f>0.5*(2+0.9*D29)+0.5*(2+0.9*G29)</f>
        <v/>
      </c>
      <c r="D30" s="29">
        <f>MAX(B30,C30)</f>
        <v/>
      </c>
      <c r="E30" s="29">
        <f>0.5*(1+0.9*D29)+0.5*(1+0.9*G29)</f>
        <v/>
      </c>
      <c r="F30" s="29">
        <f>1*(-10+0.9*H29)</f>
        <v/>
      </c>
      <c r="G30" s="29">
        <f>MAX(E30,F30)</f>
        <v/>
      </c>
      <c r="H30" s="9" t="n">
        <v>0</v>
      </c>
      <c r="I30" s="29">
        <f>IF(C30&gt;=B30,"Fast","Slow")</f>
        <v/>
      </c>
      <c r="J30" s="29">
        <f>IF(F30&gt;=E30,"Fast","Slow")</f>
        <v/>
      </c>
      <c r="K30" s="29">
        <f>MAX(ABS(D30-D29),ABS(G30-G29))</f>
        <v/>
      </c>
    </row>
    <row r="31">
      <c r="A31" s="9" t="n">
        <v>23</v>
      </c>
      <c r="B31" s="29">
        <f>0.5*(1+0.9*D30)+0.5*(1+0.9*G30)</f>
        <v/>
      </c>
      <c r="C31" s="29">
        <f>0.5*(2+0.9*D30)+0.5*(2+0.9*G30)</f>
        <v/>
      </c>
      <c r="D31" s="29">
        <f>MAX(B31,C31)</f>
        <v/>
      </c>
      <c r="E31" s="29">
        <f>0.5*(1+0.9*D30)+0.5*(1+0.9*G30)</f>
        <v/>
      </c>
      <c r="F31" s="29">
        <f>1*(-10+0.9*H30)</f>
        <v/>
      </c>
      <c r="G31" s="29">
        <f>MAX(E31,F31)</f>
        <v/>
      </c>
      <c r="H31" s="9" t="n">
        <v>0</v>
      </c>
      <c r="I31" s="29">
        <f>IF(C31&gt;=B31,"Fast","Slow")</f>
        <v/>
      </c>
      <c r="J31" s="29">
        <f>IF(F31&gt;=E31,"Fast","Slow")</f>
        <v/>
      </c>
      <c r="K31" s="29">
        <f>MAX(ABS(D31-D30),ABS(G31-G30))</f>
        <v/>
      </c>
    </row>
    <row r="32">
      <c r="A32" s="9" t="n">
        <v>24</v>
      </c>
      <c r="B32" s="29">
        <f>0.5*(1+0.9*D31)+0.5*(1+0.9*G31)</f>
        <v/>
      </c>
      <c r="C32" s="29">
        <f>0.5*(2+0.9*D31)+0.5*(2+0.9*G31)</f>
        <v/>
      </c>
      <c r="D32" s="29">
        <f>MAX(B32,C32)</f>
        <v/>
      </c>
      <c r="E32" s="29">
        <f>0.5*(1+0.9*D31)+0.5*(1+0.9*G31)</f>
        <v/>
      </c>
      <c r="F32" s="29">
        <f>1*(-10+0.9*H31)</f>
        <v/>
      </c>
      <c r="G32" s="29">
        <f>MAX(E32,F32)</f>
        <v/>
      </c>
      <c r="H32" s="9" t="n">
        <v>0</v>
      </c>
      <c r="I32" s="29">
        <f>IF(C32&gt;=B32,"Fast","Slow")</f>
        <v/>
      </c>
      <c r="J32" s="29">
        <f>IF(F32&gt;=E32,"Fast","Slow")</f>
        <v/>
      </c>
      <c r="K32" s="29">
        <f>MAX(ABS(D32-D31),ABS(G32-G31))</f>
        <v/>
      </c>
    </row>
    <row r="33">
      <c r="A33" s="9" t="n">
        <v>25</v>
      </c>
      <c r="B33" s="29">
        <f>0.5*(1+0.9*D32)+0.5*(1+0.9*G32)</f>
        <v/>
      </c>
      <c r="C33" s="29">
        <f>0.5*(2+0.9*D32)+0.5*(2+0.9*G32)</f>
        <v/>
      </c>
      <c r="D33" s="29">
        <f>MAX(B33,C33)</f>
        <v/>
      </c>
      <c r="E33" s="29">
        <f>0.5*(1+0.9*D32)+0.5*(1+0.9*G32)</f>
        <v/>
      </c>
      <c r="F33" s="29">
        <f>1*(-10+0.9*H32)</f>
        <v/>
      </c>
      <c r="G33" s="29">
        <f>MAX(E33,F33)</f>
        <v/>
      </c>
      <c r="H33" s="9" t="n">
        <v>0</v>
      </c>
      <c r="I33" s="29">
        <f>IF(C33&gt;=B33,"Fast","Slow")</f>
        <v/>
      </c>
      <c r="J33" s="29">
        <f>IF(F33&gt;=E33,"Fast","Slow")</f>
        <v/>
      </c>
      <c r="K33" s="29">
        <f>MAX(ABS(D33-D32),ABS(G33-G32))</f>
        <v/>
      </c>
    </row>
    <row r="34">
      <c r="A34" s="9" t="n">
        <v>26</v>
      </c>
      <c r="B34" s="29">
        <f>0.5*(1+0.9*D33)+0.5*(1+0.9*G33)</f>
        <v/>
      </c>
      <c r="C34" s="29">
        <f>0.5*(2+0.9*D33)+0.5*(2+0.9*G33)</f>
        <v/>
      </c>
      <c r="D34" s="29">
        <f>MAX(B34,C34)</f>
        <v/>
      </c>
      <c r="E34" s="29">
        <f>0.5*(1+0.9*D33)+0.5*(1+0.9*G33)</f>
        <v/>
      </c>
      <c r="F34" s="29">
        <f>1*(-10+0.9*H33)</f>
        <v/>
      </c>
      <c r="G34" s="29">
        <f>MAX(E34,F34)</f>
        <v/>
      </c>
      <c r="H34" s="9" t="n">
        <v>0</v>
      </c>
      <c r="I34" s="29">
        <f>IF(C34&gt;=B34,"Fast","Slow")</f>
        <v/>
      </c>
      <c r="J34" s="29">
        <f>IF(F34&gt;=E34,"Fast","Slow")</f>
        <v/>
      </c>
      <c r="K34" s="29">
        <f>MAX(ABS(D34-D33),ABS(G34-G33))</f>
        <v/>
      </c>
    </row>
    <row r="35">
      <c r="A35" s="9" t="n">
        <v>27</v>
      </c>
      <c r="B35" s="29">
        <f>0.5*(1+0.9*D34)+0.5*(1+0.9*G34)</f>
        <v/>
      </c>
      <c r="C35" s="29">
        <f>0.5*(2+0.9*D34)+0.5*(2+0.9*G34)</f>
        <v/>
      </c>
      <c r="D35" s="29">
        <f>MAX(B35,C35)</f>
        <v/>
      </c>
      <c r="E35" s="29">
        <f>0.5*(1+0.9*D34)+0.5*(1+0.9*G34)</f>
        <v/>
      </c>
      <c r="F35" s="29">
        <f>1*(-10+0.9*H34)</f>
        <v/>
      </c>
      <c r="G35" s="29">
        <f>MAX(E35,F35)</f>
        <v/>
      </c>
      <c r="H35" s="9" t="n">
        <v>0</v>
      </c>
      <c r="I35" s="29">
        <f>IF(C35&gt;=B35,"Fast","Slow")</f>
        <v/>
      </c>
      <c r="J35" s="29">
        <f>IF(F35&gt;=E35,"Fast","Slow")</f>
        <v/>
      </c>
      <c r="K35" s="29">
        <f>MAX(ABS(D35-D34),ABS(G35-G34))</f>
        <v/>
      </c>
    </row>
    <row r="36">
      <c r="A36" s="9" t="n">
        <v>28</v>
      </c>
      <c r="B36" s="29">
        <f>0.5*(1+0.9*D35)+0.5*(1+0.9*G35)</f>
        <v/>
      </c>
      <c r="C36" s="29">
        <f>0.5*(2+0.9*D35)+0.5*(2+0.9*G35)</f>
        <v/>
      </c>
      <c r="D36" s="29">
        <f>MAX(B36,C36)</f>
        <v/>
      </c>
      <c r="E36" s="29">
        <f>0.5*(1+0.9*D35)+0.5*(1+0.9*G35)</f>
        <v/>
      </c>
      <c r="F36" s="29">
        <f>1*(-10+0.9*H35)</f>
        <v/>
      </c>
      <c r="G36" s="29">
        <f>MAX(E36,F36)</f>
        <v/>
      </c>
      <c r="H36" s="9" t="n">
        <v>0</v>
      </c>
      <c r="I36" s="29">
        <f>IF(C36&gt;=B36,"Fast","Slow")</f>
        <v/>
      </c>
      <c r="J36" s="29">
        <f>IF(F36&gt;=E36,"Fast","Slow")</f>
        <v/>
      </c>
      <c r="K36" s="29">
        <f>MAX(ABS(D36-D35),ABS(G36-G35))</f>
        <v/>
      </c>
    </row>
    <row r="37">
      <c r="A37" s="9" t="n">
        <v>29</v>
      </c>
      <c r="B37" s="29">
        <f>0.5*(1+0.9*D36)+0.5*(1+0.9*G36)</f>
        <v/>
      </c>
      <c r="C37" s="29">
        <f>0.5*(2+0.9*D36)+0.5*(2+0.9*G36)</f>
        <v/>
      </c>
      <c r="D37" s="29">
        <f>MAX(B37,C37)</f>
        <v/>
      </c>
      <c r="E37" s="29">
        <f>0.5*(1+0.9*D36)+0.5*(1+0.9*G36)</f>
        <v/>
      </c>
      <c r="F37" s="29">
        <f>1*(-10+0.9*H36)</f>
        <v/>
      </c>
      <c r="G37" s="29">
        <f>MAX(E37,F37)</f>
        <v/>
      </c>
      <c r="H37" s="9" t="n">
        <v>0</v>
      </c>
      <c r="I37" s="29">
        <f>IF(C37&gt;=B37,"Fast","Slow")</f>
        <v/>
      </c>
      <c r="J37" s="29">
        <f>IF(F37&gt;=E37,"Fast","Slow")</f>
        <v/>
      </c>
      <c r="K37" s="29">
        <f>MAX(ABS(D37-D36),ABS(G37-G36))</f>
        <v/>
      </c>
    </row>
    <row r="38">
      <c r="A38" s="9" t="n">
        <v>30</v>
      </c>
      <c r="B38" s="29">
        <f>0.5*(1+0.9*D37)+0.5*(1+0.9*G37)</f>
        <v/>
      </c>
      <c r="C38" s="29">
        <f>0.5*(2+0.9*D37)+0.5*(2+0.9*G37)</f>
        <v/>
      </c>
      <c r="D38" s="29">
        <f>MAX(B38,C38)</f>
        <v/>
      </c>
      <c r="E38" s="29">
        <f>0.5*(1+0.9*D37)+0.5*(1+0.9*G37)</f>
        <v/>
      </c>
      <c r="F38" s="29">
        <f>1*(-10+0.9*H37)</f>
        <v/>
      </c>
      <c r="G38" s="29">
        <f>MAX(E38,F38)</f>
        <v/>
      </c>
      <c r="H38" s="9" t="n">
        <v>0</v>
      </c>
      <c r="I38" s="29">
        <f>IF(C38&gt;=B38,"Fast","Slow")</f>
        <v/>
      </c>
      <c r="J38" s="29">
        <f>IF(F38&gt;=E38,"Fast","Slow")</f>
        <v/>
      </c>
      <c r="K38" s="29">
        <f>MAX(ABS(D38-D37),ABS(G38-G37))</f>
        <v/>
      </c>
    </row>
    <row r="39">
      <c r="A39" s="9" t="n">
        <v>31</v>
      </c>
      <c r="B39" s="29">
        <f>0.5*(1+0.9*D38)+0.5*(1+0.9*G38)</f>
        <v/>
      </c>
      <c r="C39" s="29">
        <f>0.5*(2+0.9*D38)+0.5*(2+0.9*G38)</f>
        <v/>
      </c>
      <c r="D39" s="29">
        <f>MAX(B39,C39)</f>
        <v/>
      </c>
      <c r="E39" s="29">
        <f>0.5*(1+0.9*D38)+0.5*(1+0.9*G38)</f>
        <v/>
      </c>
      <c r="F39" s="29">
        <f>1*(-10+0.9*H38)</f>
        <v/>
      </c>
      <c r="G39" s="29">
        <f>MAX(E39,F39)</f>
        <v/>
      </c>
      <c r="H39" s="9" t="n">
        <v>0</v>
      </c>
      <c r="I39" s="29">
        <f>IF(C39&gt;=B39,"Fast","Slow")</f>
        <v/>
      </c>
      <c r="J39" s="29">
        <f>IF(F39&gt;=E39,"Fast","Slow")</f>
        <v/>
      </c>
      <c r="K39" s="29">
        <f>MAX(ABS(D39-D38),ABS(G39-G38))</f>
        <v/>
      </c>
    </row>
    <row r="40">
      <c r="A40" s="9" t="n">
        <v>32</v>
      </c>
      <c r="B40" s="29">
        <f>0.5*(1+0.9*D39)+0.5*(1+0.9*G39)</f>
        <v/>
      </c>
      <c r="C40" s="29">
        <f>0.5*(2+0.9*D39)+0.5*(2+0.9*G39)</f>
        <v/>
      </c>
      <c r="D40" s="29">
        <f>MAX(B40,C40)</f>
        <v/>
      </c>
      <c r="E40" s="29">
        <f>0.5*(1+0.9*D39)+0.5*(1+0.9*G39)</f>
        <v/>
      </c>
      <c r="F40" s="29">
        <f>1*(-10+0.9*H39)</f>
        <v/>
      </c>
      <c r="G40" s="29">
        <f>MAX(E40,F40)</f>
        <v/>
      </c>
      <c r="H40" s="9" t="n">
        <v>0</v>
      </c>
      <c r="I40" s="29">
        <f>IF(C40&gt;=B40,"Fast","Slow")</f>
        <v/>
      </c>
      <c r="J40" s="29">
        <f>IF(F40&gt;=E40,"Fast","Slow")</f>
        <v/>
      </c>
      <c r="K40" s="29">
        <f>MAX(ABS(D40-D39),ABS(G40-G39))</f>
        <v/>
      </c>
    </row>
    <row r="41">
      <c r="A41" s="9" t="n">
        <v>33</v>
      </c>
      <c r="B41" s="29">
        <f>0.5*(1+0.9*D40)+0.5*(1+0.9*G40)</f>
        <v/>
      </c>
      <c r="C41" s="29">
        <f>0.5*(2+0.9*D40)+0.5*(2+0.9*G40)</f>
        <v/>
      </c>
      <c r="D41" s="29">
        <f>MAX(B41,C41)</f>
        <v/>
      </c>
      <c r="E41" s="29">
        <f>0.5*(1+0.9*D40)+0.5*(1+0.9*G40)</f>
        <v/>
      </c>
      <c r="F41" s="29">
        <f>1*(-10+0.9*H40)</f>
        <v/>
      </c>
      <c r="G41" s="29">
        <f>MAX(E41,F41)</f>
        <v/>
      </c>
      <c r="H41" s="9" t="n">
        <v>0</v>
      </c>
      <c r="I41" s="29">
        <f>IF(C41&gt;=B41,"Fast","Slow")</f>
        <v/>
      </c>
      <c r="J41" s="29">
        <f>IF(F41&gt;=E41,"Fast","Slow")</f>
        <v/>
      </c>
      <c r="K41" s="29">
        <f>MAX(ABS(D41-D40),ABS(G41-G40))</f>
        <v/>
      </c>
    </row>
    <row r="42">
      <c r="A42" s="9" t="n">
        <v>34</v>
      </c>
      <c r="B42" s="29">
        <f>0.5*(1+0.9*D41)+0.5*(1+0.9*G41)</f>
        <v/>
      </c>
      <c r="C42" s="29">
        <f>0.5*(2+0.9*D41)+0.5*(2+0.9*G41)</f>
        <v/>
      </c>
      <c r="D42" s="29">
        <f>MAX(B42,C42)</f>
        <v/>
      </c>
      <c r="E42" s="29">
        <f>0.5*(1+0.9*D41)+0.5*(1+0.9*G41)</f>
        <v/>
      </c>
      <c r="F42" s="29">
        <f>1*(-10+0.9*H41)</f>
        <v/>
      </c>
      <c r="G42" s="29">
        <f>MAX(E42,F42)</f>
        <v/>
      </c>
      <c r="H42" s="9" t="n">
        <v>0</v>
      </c>
      <c r="I42" s="29">
        <f>IF(C42&gt;=B42,"Fast","Slow")</f>
        <v/>
      </c>
      <c r="J42" s="29">
        <f>IF(F42&gt;=E42,"Fast","Slow")</f>
        <v/>
      </c>
      <c r="K42" s="29">
        <f>MAX(ABS(D42-D41),ABS(G42-G41))</f>
        <v/>
      </c>
    </row>
    <row r="43">
      <c r="A43" s="9" t="n">
        <v>35</v>
      </c>
      <c r="B43" s="29">
        <f>0.5*(1+0.9*D42)+0.5*(1+0.9*G42)</f>
        <v/>
      </c>
      <c r="C43" s="29">
        <f>0.5*(2+0.9*D42)+0.5*(2+0.9*G42)</f>
        <v/>
      </c>
      <c r="D43" s="29">
        <f>MAX(B43,C43)</f>
        <v/>
      </c>
      <c r="E43" s="29">
        <f>0.5*(1+0.9*D42)+0.5*(1+0.9*G42)</f>
        <v/>
      </c>
      <c r="F43" s="29">
        <f>1*(-10+0.9*H42)</f>
        <v/>
      </c>
      <c r="G43" s="29">
        <f>MAX(E43,F43)</f>
        <v/>
      </c>
      <c r="H43" s="9" t="n">
        <v>0</v>
      </c>
      <c r="I43" s="29">
        <f>IF(C43&gt;=B43,"Fast","Slow")</f>
        <v/>
      </c>
      <c r="J43" s="29">
        <f>IF(F43&gt;=E43,"Fast","Slow")</f>
        <v/>
      </c>
      <c r="K43" s="29">
        <f>MAX(ABS(D43-D42),ABS(G43-G42))</f>
        <v/>
      </c>
    </row>
    <row r="44">
      <c r="A44" s="9" t="n">
        <v>36</v>
      </c>
      <c r="B44" s="29">
        <f>0.5*(1+0.9*D43)+0.5*(1+0.9*G43)</f>
        <v/>
      </c>
      <c r="C44" s="29">
        <f>0.5*(2+0.9*D43)+0.5*(2+0.9*G43)</f>
        <v/>
      </c>
      <c r="D44" s="29">
        <f>MAX(B44,C44)</f>
        <v/>
      </c>
      <c r="E44" s="29">
        <f>0.5*(1+0.9*D43)+0.5*(1+0.9*G43)</f>
        <v/>
      </c>
      <c r="F44" s="29">
        <f>1*(-10+0.9*H43)</f>
        <v/>
      </c>
      <c r="G44" s="29">
        <f>MAX(E44,F44)</f>
        <v/>
      </c>
      <c r="H44" s="9" t="n">
        <v>0</v>
      </c>
      <c r="I44" s="29">
        <f>IF(C44&gt;=B44,"Fast","Slow")</f>
        <v/>
      </c>
      <c r="J44" s="29">
        <f>IF(F44&gt;=E44,"Fast","Slow")</f>
        <v/>
      </c>
      <c r="K44" s="29">
        <f>MAX(ABS(D44-D43),ABS(G44-G43))</f>
        <v/>
      </c>
    </row>
    <row r="45">
      <c r="A45" s="9" t="n">
        <v>37</v>
      </c>
      <c r="B45" s="29">
        <f>0.5*(1+0.9*D44)+0.5*(1+0.9*G44)</f>
        <v/>
      </c>
      <c r="C45" s="29">
        <f>0.5*(2+0.9*D44)+0.5*(2+0.9*G44)</f>
        <v/>
      </c>
      <c r="D45" s="29">
        <f>MAX(B45,C45)</f>
        <v/>
      </c>
      <c r="E45" s="29">
        <f>0.5*(1+0.9*D44)+0.5*(1+0.9*G44)</f>
        <v/>
      </c>
      <c r="F45" s="29">
        <f>1*(-10+0.9*H44)</f>
        <v/>
      </c>
      <c r="G45" s="29">
        <f>MAX(E45,F45)</f>
        <v/>
      </c>
      <c r="H45" s="9" t="n">
        <v>0</v>
      </c>
      <c r="I45" s="29">
        <f>IF(C45&gt;=B45,"Fast","Slow")</f>
        <v/>
      </c>
      <c r="J45" s="29">
        <f>IF(F45&gt;=E45,"Fast","Slow")</f>
        <v/>
      </c>
      <c r="K45" s="29">
        <f>MAX(ABS(D45-D44),ABS(G45-G44))</f>
        <v/>
      </c>
    </row>
    <row r="46">
      <c r="A46" s="9" t="n">
        <v>38</v>
      </c>
      <c r="B46" s="29">
        <f>0.5*(1+0.9*D45)+0.5*(1+0.9*G45)</f>
        <v/>
      </c>
      <c r="C46" s="29">
        <f>0.5*(2+0.9*D45)+0.5*(2+0.9*G45)</f>
        <v/>
      </c>
      <c r="D46" s="29">
        <f>MAX(B46,C46)</f>
        <v/>
      </c>
      <c r="E46" s="29">
        <f>0.5*(1+0.9*D45)+0.5*(1+0.9*G45)</f>
        <v/>
      </c>
      <c r="F46" s="29">
        <f>1*(-10+0.9*H45)</f>
        <v/>
      </c>
      <c r="G46" s="29">
        <f>MAX(E46,F46)</f>
        <v/>
      </c>
      <c r="H46" s="9" t="n">
        <v>0</v>
      </c>
      <c r="I46" s="29">
        <f>IF(C46&gt;=B46,"Fast","Slow")</f>
        <v/>
      </c>
      <c r="J46" s="29">
        <f>IF(F46&gt;=E46,"Fast","Slow")</f>
        <v/>
      </c>
      <c r="K46" s="29">
        <f>MAX(ABS(D46-D45),ABS(G46-G45))</f>
        <v/>
      </c>
    </row>
    <row r="47">
      <c r="A47" s="9" t="n">
        <v>39</v>
      </c>
      <c r="B47" s="29">
        <f>0.5*(1+0.9*D46)+0.5*(1+0.9*G46)</f>
        <v/>
      </c>
      <c r="C47" s="29">
        <f>0.5*(2+0.9*D46)+0.5*(2+0.9*G46)</f>
        <v/>
      </c>
      <c r="D47" s="29">
        <f>MAX(B47,C47)</f>
        <v/>
      </c>
      <c r="E47" s="29">
        <f>0.5*(1+0.9*D46)+0.5*(1+0.9*G46)</f>
        <v/>
      </c>
      <c r="F47" s="29">
        <f>1*(-10+0.9*H46)</f>
        <v/>
      </c>
      <c r="G47" s="29">
        <f>MAX(E47,F47)</f>
        <v/>
      </c>
      <c r="H47" s="9" t="n">
        <v>0</v>
      </c>
      <c r="I47" s="29">
        <f>IF(C47&gt;=B47,"Fast","Slow")</f>
        <v/>
      </c>
      <c r="J47" s="29">
        <f>IF(F47&gt;=E47,"Fast","Slow")</f>
        <v/>
      </c>
      <c r="K47" s="29">
        <f>MAX(ABS(D47-D46),ABS(G47-G46))</f>
        <v/>
      </c>
    </row>
    <row r="48">
      <c r="A48" s="9" t="n">
        <v>40</v>
      </c>
      <c r="B48" s="29">
        <f>0.5*(1+0.9*D47)+0.5*(1+0.9*G47)</f>
        <v/>
      </c>
      <c r="C48" s="29">
        <f>0.5*(2+0.9*D47)+0.5*(2+0.9*G47)</f>
        <v/>
      </c>
      <c r="D48" s="29">
        <f>MAX(B48,C48)</f>
        <v/>
      </c>
      <c r="E48" s="29">
        <f>0.5*(1+0.9*D47)+0.5*(1+0.9*G47)</f>
        <v/>
      </c>
      <c r="F48" s="29">
        <f>1*(-10+0.9*H47)</f>
        <v/>
      </c>
      <c r="G48" s="29">
        <f>MAX(E48,F48)</f>
        <v/>
      </c>
      <c r="H48" s="9" t="n">
        <v>0</v>
      </c>
      <c r="I48" s="29">
        <f>IF(C48&gt;=B48,"Fast","Slow")</f>
        <v/>
      </c>
      <c r="J48" s="29">
        <f>IF(F48&gt;=E48,"Fast","Slow")</f>
        <v/>
      </c>
      <c r="K48" s="29">
        <f>MAX(ABS(D48-D47),ABS(G48-G47))</f>
        <v/>
      </c>
    </row>
    <row r="49">
      <c r="A49" s="9" t="n">
        <v>41</v>
      </c>
      <c r="B49" s="29">
        <f>0.5*(1+0.9*D48)+0.5*(1+0.9*G48)</f>
        <v/>
      </c>
      <c r="C49" s="29">
        <f>0.5*(2+0.9*D48)+0.5*(2+0.9*G48)</f>
        <v/>
      </c>
      <c r="D49" s="29">
        <f>MAX(B49,C49)</f>
        <v/>
      </c>
      <c r="E49" s="29">
        <f>0.5*(1+0.9*D48)+0.5*(1+0.9*G48)</f>
        <v/>
      </c>
      <c r="F49" s="29">
        <f>1*(-10+0.9*H48)</f>
        <v/>
      </c>
      <c r="G49" s="29">
        <f>MAX(E49,F49)</f>
        <v/>
      </c>
      <c r="H49" s="9" t="n">
        <v>0</v>
      </c>
      <c r="I49" s="29">
        <f>IF(C49&gt;=B49,"Fast","Slow")</f>
        <v/>
      </c>
      <c r="J49" s="29">
        <f>IF(F49&gt;=E49,"Fast","Slow")</f>
        <v/>
      </c>
      <c r="K49" s="29">
        <f>MAX(ABS(D49-D48),ABS(G49-G48))</f>
        <v/>
      </c>
    </row>
    <row r="50">
      <c r="A50" s="9" t="n">
        <v>42</v>
      </c>
      <c r="B50" s="29">
        <f>0.5*(1+0.9*D49)+0.5*(1+0.9*G49)</f>
        <v/>
      </c>
      <c r="C50" s="29">
        <f>0.5*(2+0.9*D49)+0.5*(2+0.9*G49)</f>
        <v/>
      </c>
      <c r="D50" s="29">
        <f>MAX(B50,C50)</f>
        <v/>
      </c>
      <c r="E50" s="29">
        <f>0.5*(1+0.9*D49)+0.5*(1+0.9*G49)</f>
        <v/>
      </c>
      <c r="F50" s="29">
        <f>1*(-10+0.9*H49)</f>
        <v/>
      </c>
      <c r="G50" s="29">
        <f>MAX(E50,F50)</f>
        <v/>
      </c>
      <c r="H50" s="9" t="n">
        <v>0</v>
      </c>
      <c r="I50" s="29">
        <f>IF(C50&gt;=B50,"Fast","Slow")</f>
        <v/>
      </c>
      <c r="J50" s="29">
        <f>IF(F50&gt;=E50,"Fast","Slow")</f>
        <v/>
      </c>
      <c r="K50" s="29">
        <f>MAX(ABS(D50-D49),ABS(G50-G49))</f>
        <v/>
      </c>
    </row>
    <row r="51">
      <c r="A51" s="9" t="n">
        <v>43</v>
      </c>
      <c r="B51" s="29">
        <f>0.5*(1+0.9*D50)+0.5*(1+0.9*G50)</f>
        <v/>
      </c>
      <c r="C51" s="29">
        <f>0.5*(2+0.9*D50)+0.5*(2+0.9*G50)</f>
        <v/>
      </c>
      <c r="D51" s="29">
        <f>MAX(B51,C51)</f>
        <v/>
      </c>
      <c r="E51" s="29">
        <f>0.5*(1+0.9*D50)+0.5*(1+0.9*G50)</f>
        <v/>
      </c>
      <c r="F51" s="29">
        <f>1*(-10+0.9*H50)</f>
        <v/>
      </c>
      <c r="G51" s="29">
        <f>MAX(E51,F51)</f>
        <v/>
      </c>
      <c r="H51" s="9" t="n">
        <v>0</v>
      </c>
      <c r="I51" s="29">
        <f>IF(C51&gt;=B51,"Fast","Slow")</f>
        <v/>
      </c>
      <c r="J51" s="29">
        <f>IF(F51&gt;=E51,"Fast","Slow")</f>
        <v/>
      </c>
      <c r="K51" s="29">
        <f>MAX(ABS(D51-D50),ABS(G51-G50))</f>
        <v/>
      </c>
    </row>
    <row r="52">
      <c r="A52" s="9" t="n">
        <v>44</v>
      </c>
      <c r="B52" s="29">
        <f>0.5*(1+0.9*D51)+0.5*(1+0.9*G51)</f>
        <v/>
      </c>
      <c r="C52" s="29">
        <f>0.5*(2+0.9*D51)+0.5*(2+0.9*G51)</f>
        <v/>
      </c>
      <c r="D52" s="29">
        <f>MAX(B52,C52)</f>
        <v/>
      </c>
      <c r="E52" s="29">
        <f>0.5*(1+0.9*D51)+0.5*(1+0.9*G51)</f>
        <v/>
      </c>
      <c r="F52" s="29">
        <f>1*(-10+0.9*H51)</f>
        <v/>
      </c>
      <c r="G52" s="29">
        <f>MAX(E52,F52)</f>
        <v/>
      </c>
      <c r="H52" s="9" t="n">
        <v>0</v>
      </c>
      <c r="I52" s="29">
        <f>IF(C52&gt;=B52,"Fast","Slow")</f>
        <v/>
      </c>
      <c r="J52" s="29">
        <f>IF(F52&gt;=E52,"Fast","Slow")</f>
        <v/>
      </c>
      <c r="K52" s="29">
        <f>MAX(ABS(D52-D51),ABS(G52-G51))</f>
        <v/>
      </c>
    </row>
    <row r="53">
      <c r="A53" s="9" t="n">
        <v>45</v>
      </c>
      <c r="B53" s="29">
        <f>0.5*(1+0.9*D52)+0.5*(1+0.9*G52)</f>
        <v/>
      </c>
      <c r="C53" s="29">
        <f>0.5*(2+0.9*D52)+0.5*(2+0.9*G52)</f>
        <v/>
      </c>
      <c r="D53" s="29">
        <f>MAX(B53,C53)</f>
        <v/>
      </c>
      <c r="E53" s="29">
        <f>0.5*(1+0.9*D52)+0.5*(1+0.9*G52)</f>
        <v/>
      </c>
      <c r="F53" s="29">
        <f>1*(-10+0.9*H52)</f>
        <v/>
      </c>
      <c r="G53" s="29">
        <f>MAX(E53,F53)</f>
        <v/>
      </c>
      <c r="H53" s="9" t="n">
        <v>0</v>
      </c>
      <c r="I53" s="29">
        <f>IF(C53&gt;=B53,"Fast","Slow")</f>
        <v/>
      </c>
      <c r="J53" s="29">
        <f>IF(F53&gt;=E53,"Fast","Slow")</f>
        <v/>
      </c>
      <c r="K53" s="29">
        <f>MAX(ABS(D53-D52),ABS(G53-G52))</f>
        <v/>
      </c>
    </row>
    <row r="54">
      <c r="A54" s="9" t="n">
        <v>46</v>
      </c>
      <c r="B54" s="29">
        <f>0.5*(1+0.9*D53)+0.5*(1+0.9*G53)</f>
        <v/>
      </c>
      <c r="C54" s="29">
        <f>0.5*(2+0.9*D53)+0.5*(2+0.9*G53)</f>
        <v/>
      </c>
      <c r="D54" s="29">
        <f>MAX(B54,C54)</f>
        <v/>
      </c>
      <c r="E54" s="29">
        <f>0.5*(1+0.9*D53)+0.5*(1+0.9*G53)</f>
        <v/>
      </c>
      <c r="F54" s="29">
        <f>1*(-10+0.9*H53)</f>
        <v/>
      </c>
      <c r="G54" s="29">
        <f>MAX(E54,F54)</f>
        <v/>
      </c>
      <c r="H54" s="9" t="n">
        <v>0</v>
      </c>
      <c r="I54" s="29">
        <f>IF(C54&gt;=B54,"Fast","Slow")</f>
        <v/>
      </c>
      <c r="J54" s="29">
        <f>IF(F54&gt;=E54,"Fast","Slow")</f>
        <v/>
      </c>
      <c r="K54" s="29">
        <f>MAX(ABS(D54-D53),ABS(G54-G53))</f>
        <v/>
      </c>
    </row>
    <row r="55">
      <c r="A55" s="9" t="n">
        <v>47</v>
      </c>
      <c r="B55" s="29">
        <f>0.5*(1+0.9*D54)+0.5*(1+0.9*G54)</f>
        <v/>
      </c>
      <c r="C55" s="29">
        <f>0.5*(2+0.9*D54)+0.5*(2+0.9*G54)</f>
        <v/>
      </c>
      <c r="D55" s="29">
        <f>MAX(B55,C55)</f>
        <v/>
      </c>
      <c r="E55" s="29">
        <f>0.5*(1+0.9*D54)+0.5*(1+0.9*G54)</f>
        <v/>
      </c>
      <c r="F55" s="29">
        <f>1*(-10+0.9*H54)</f>
        <v/>
      </c>
      <c r="G55" s="29">
        <f>MAX(E55,F55)</f>
        <v/>
      </c>
      <c r="H55" s="9" t="n">
        <v>0</v>
      </c>
      <c r="I55" s="29">
        <f>IF(C55&gt;=B55,"Fast","Slow")</f>
        <v/>
      </c>
      <c r="J55" s="29">
        <f>IF(F55&gt;=E55,"Fast","Slow")</f>
        <v/>
      </c>
      <c r="K55" s="29">
        <f>MAX(ABS(D55-D54),ABS(G55-G54))</f>
        <v/>
      </c>
    </row>
    <row r="56">
      <c r="A56" s="9" t="n">
        <v>48</v>
      </c>
      <c r="B56" s="29">
        <f>0.5*(1+0.9*D55)+0.5*(1+0.9*G55)</f>
        <v/>
      </c>
      <c r="C56" s="29">
        <f>0.5*(2+0.9*D55)+0.5*(2+0.9*G55)</f>
        <v/>
      </c>
      <c r="D56" s="29">
        <f>MAX(B56,C56)</f>
        <v/>
      </c>
      <c r="E56" s="29">
        <f>0.5*(1+0.9*D55)+0.5*(1+0.9*G55)</f>
        <v/>
      </c>
      <c r="F56" s="29">
        <f>1*(-10+0.9*H55)</f>
        <v/>
      </c>
      <c r="G56" s="29">
        <f>MAX(E56,F56)</f>
        <v/>
      </c>
      <c r="H56" s="9" t="n">
        <v>0</v>
      </c>
      <c r="I56" s="29">
        <f>IF(C56&gt;=B56,"Fast","Slow")</f>
        <v/>
      </c>
      <c r="J56" s="29">
        <f>IF(F56&gt;=E56,"Fast","Slow")</f>
        <v/>
      </c>
      <c r="K56" s="29">
        <f>MAX(ABS(D56-D55),ABS(G56-G55))</f>
        <v/>
      </c>
    </row>
    <row r="57">
      <c r="A57" s="9" t="n">
        <v>49</v>
      </c>
      <c r="B57" s="29">
        <f>0.5*(1+0.9*D56)+0.5*(1+0.9*G56)</f>
        <v/>
      </c>
      <c r="C57" s="29">
        <f>0.5*(2+0.9*D56)+0.5*(2+0.9*G56)</f>
        <v/>
      </c>
      <c r="D57" s="29">
        <f>MAX(B57,C57)</f>
        <v/>
      </c>
      <c r="E57" s="29">
        <f>0.5*(1+0.9*D56)+0.5*(1+0.9*G56)</f>
        <v/>
      </c>
      <c r="F57" s="29">
        <f>1*(-10+0.9*H56)</f>
        <v/>
      </c>
      <c r="G57" s="29">
        <f>MAX(E57,F57)</f>
        <v/>
      </c>
      <c r="H57" s="9" t="n">
        <v>0</v>
      </c>
      <c r="I57" s="29">
        <f>IF(C57&gt;=B57,"Fast","Slow")</f>
        <v/>
      </c>
      <c r="J57" s="29">
        <f>IF(F57&gt;=E57,"Fast","Slow")</f>
        <v/>
      </c>
      <c r="K57" s="29">
        <f>MAX(ABS(D57-D56),ABS(G57-G56))</f>
        <v/>
      </c>
    </row>
    <row r="58">
      <c r="A58" s="9" t="n">
        <v>50</v>
      </c>
      <c r="B58" s="29">
        <f>0.5*(1+0.9*D57)+0.5*(1+0.9*G57)</f>
        <v/>
      </c>
      <c r="C58" s="29">
        <f>0.5*(2+0.9*D57)+0.5*(2+0.9*G57)</f>
        <v/>
      </c>
      <c r="D58" s="29">
        <f>MAX(B58,C58)</f>
        <v/>
      </c>
      <c r="E58" s="29">
        <f>0.5*(1+0.9*D57)+0.5*(1+0.9*G57)</f>
        <v/>
      </c>
      <c r="F58" s="29">
        <f>1*(-10+0.9*H57)</f>
        <v/>
      </c>
      <c r="G58" s="29">
        <f>MAX(E58,F58)</f>
        <v/>
      </c>
      <c r="H58" s="9" t="n">
        <v>0</v>
      </c>
      <c r="I58" s="29">
        <f>IF(C58&gt;=B58,"Fast","Slow")</f>
        <v/>
      </c>
      <c r="J58" s="29">
        <f>IF(F58&gt;=E58,"Fast","Slow")</f>
        <v/>
      </c>
      <c r="K58" s="29">
        <f>MAX(ABS(D58-D57),ABS(G58-G57))</f>
        <v/>
      </c>
    </row>
    <row r="59"/>
    <row r="60"/>
    <row r="61">
      <c r="A61" s="31" t="inlineStr">
        <is>
          <t>In-Place Value Iteration (Cool updated first, then Warm uses new Cool)</t>
        </is>
      </c>
    </row>
    <row r="62">
      <c r="A62" s="6" t="inlineStr">
        <is>
          <t>k</t>
        </is>
      </c>
      <c r="B62" s="6" t="inlineStr">
        <is>
          <t>Q(C,S)</t>
        </is>
      </c>
      <c r="C62" s="6" t="inlineStr">
        <is>
          <t>Q(C,F)</t>
        </is>
      </c>
      <c r="D62" s="6" t="inlineStr">
        <is>
          <t>V*(C)</t>
        </is>
      </c>
      <c r="E62" s="6" t="inlineStr">
        <is>
          <t>Q(W,S)</t>
        </is>
      </c>
      <c r="F62" s="6" t="inlineStr">
        <is>
          <t>Q(W,F)</t>
        </is>
      </c>
      <c r="G62" s="6" t="inlineStr">
        <is>
          <t>V*(W)</t>
        </is>
      </c>
      <c r="H62" s="6" t="inlineStr">
        <is>
          <t>V*(OH)</t>
        </is>
      </c>
      <c r="I62" s="6" t="inlineStr">
        <is>
          <t>pi*(C)</t>
        </is>
      </c>
      <c r="J62" s="6" t="inlineStr">
        <is>
          <t>pi*(W)</t>
        </is>
      </c>
      <c r="K62" s="6" t="inlineStr">
        <is>
          <t>|DV|</t>
        </is>
      </c>
    </row>
    <row r="63">
      <c r="A63" s="9" t="n">
        <v>0</v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inlineStr">
        <is>
          <t>---</t>
        </is>
      </c>
      <c r="J63" s="9" t="inlineStr">
        <is>
          <t>---</t>
        </is>
      </c>
      <c r="K63" s="9" t="inlineStr">
        <is>
          <t>---</t>
        </is>
      </c>
    </row>
    <row r="64">
      <c r="A64" s="9" t="n">
        <v>1</v>
      </c>
      <c r="B64" s="29">
        <f>0.5*(1+0.9*D63)+0.5*(1+0.9*G63)</f>
        <v/>
      </c>
      <c r="C64" s="29">
        <f>0.5*(2+0.9*D63)+0.5*(2+0.9*G63)</f>
        <v/>
      </c>
      <c r="D64" s="29">
        <f>MAX(B64,C64)</f>
        <v/>
      </c>
      <c r="E64" s="29">
        <f>0.5*(1+0.9*D64)+0.5*(1+0.9*G63)</f>
        <v/>
      </c>
      <c r="F64" s="29">
        <f>1*(-10+0.9*H63)</f>
        <v/>
      </c>
      <c r="G64" s="29">
        <f>MAX(E64,F64)</f>
        <v/>
      </c>
      <c r="H64" s="9" t="n">
        <v>0</v>
      </c>
      <c r="I64" s="29">
        <f>IF(C64&gt;=B64,"Fast","Slow")</f>
        <v/>
      </c>
      <c r="J64" s="29">
        <f>IF(F64&gt;=E64,"Fast","Slow")</f>
        <v/>
      </c>
      <c r="K64" s="29">
        <f>MAX(ABS(D64-D63),ABS(G64-G63))</f>
        <v/>
      </c>
    </row>
    <row r="65">
      <c r="A65" s="9" t="n">
        <v>2</v>
      </c>
      <c r="B65" s="29">
        <f>0.5*(1+0.9*D64)+0.5*(1+0.9*G64)</f>
        <v/>
      </c>
      <c r="C65" s="29">
        <f>0.5*(2+0.9*D64)+0.5*(2+0.9*G64)</f>
        <v/>
      </c>
      <c r="D65" s="29">
        <f>MAX(B65,C65)</f>
        <v/>
      </c>
      <c r="E65" s="29">
        <f>0.5*(1+0.9*D65)+0.5*(1+0.9*G64)</f>
        <v/>
      </c>
      <c r="F65" s="29">
        <f>1*(-10+0.9*H64)</f>
        <v/>
      </c>
      <c r="G65" s="29">
        <f>MAX(E65,F65)</f>
        <v/>
      </c>
      <c r="H65" s="9" t="n">
        <v>0</v>
      </c>
      <c r="I65" s="29">
        <f>IF(C65&gt;=B65,"Fast","Slow")</f>
        <v/>
      </c>
      <c r="J65" s="29">
        <f>IF(F65&gt;=E65,"Fast","Slow")</f>
        <v/>
      </c>
      <c r="K65" s="29">
        <f>MAX(ABS(D65-D64),ABS(G65-G64))</f>
        <v/>
      </c>
    </row>
    <row r="66">
      <c r="A66" s="9" t="n">
        <v>3</v>
      </c>
      <c r="B66" s="29">
        <f>0.5*(1+0.9*D65)+0.5*(1+0.9*G65)</f>
        <v/>
      </c>
      <c r="C66" s="29">
        <f>0.5*(2+0.9*D65)+0.5*(2+0.9*G65)</f>
        <v/>
      </c>
      <c r="D66" s="29">
        <f>MAX(B66,C66)</f>
        <v/>
      </c>
      <c r="E66" s="29">
        <f>0.5*(1+0.9*D66)+0.5*(1+0.9*G65)</f>
        <v/>
      </c>
      <c r="F66" s="29">
        <f>1*(-10+0.9*H65)</f>
        <v/>
      </c>
      <c r="G66" s="29">
        <f>MAX(E66,F66)</f>
        <v/>
      </c>
      <c r="H66" s="9" t="n">
        <v>0</v>
      </c>
      <c r="I66" s="29">
        <f>IF(C66&gt;=B66,"Fast","Slow")</f>
        <v/>
      </c>
      <c r="J66" s="29">
        <f>IF(F66&gt;=E66,"Fast","Slow")</f>
        <v/>
      </c>
      <c r="K66" s="29">
        <f>MAX(ABS(D66-D65),ABS(G66-G65))</f>
        <v/>
      </c>
    </row>
    <row r="67">
      <c r="A67" s="9" t="n">
        <v>4</v>
      </c>
      <c r="B67" s="29">
        <f>0.5*(1+0.9*D66)+0.5*(1+0.9*G66)</f>
        <v/>
      </c>
      <c r="C67" s="29">
        <f>0.5*(2+0.9*D66)+0.5*(2+0.9*G66)</f>
        <v/>
      </c>
      <c r="D67" s="29">
        <f>MAX(B67,C67)</f>
        <v/>
      </c>
      <c r="E67" s="29">
        <f>0.5*(1+0.9*D67)+0.5*(1+0.9*G66)</f>
        <v/>
      </c>
      <c r="F67" s="29">
        <f>1*(-10+0.9*H66)</f>
        <v/>
      </c>
      <c r="G67" s="29">
        <f>MAX(E67,F67)</f>
        <v/>
      </c>
      <c r="H67" s="9" t="n">
        <v>0</v>
      </c>
      <c r="I67" s="29">
        <f>IF(C67&gt;=B67,"Fast","Slow")</f>
        <v/>
      </c>
      <c r="J67" s="29">
        <f>IF(F67&gt;=E67,"Fast","Slow")</f>
        <v/>
      </c>
      <c r="K67" s="29">
        <f>MAX(ABS(D67-D66),ABS(G67-G66))</f>
        <v/>
      </c>
    </row>
    <row r="68">
      <c r="A68" s="9" t="n">
        <v>5</v>
      </c>
      <c r="B68" s="29">
        <f>0.5*(1+0.9*D67)+0.5*(1+0.9*G67)</f>
        <v/>
      </c>
      <c r="C68" s="29">
        <f>0.5*(2+0.9*D67)+0.5*(2+0.9*G67)</f>
        <v/>
      </c>
      <c r="D68" s="29">
        <f>MAX(B68,C68)</f>
        <v/>
      </c>
      <c r="E68" s="29">
        <f>0.5*(1+0.9*D68)+0.5*(1+0.9*G67)</f>
        <v/>
      </c>
      <c r="F68" s="29">
        <f>1*(-10+0.9*H67)</f>
        <v/>
      </c>
      <c r="G68" s="29">
        <f>MAX(E68,F68)</f>
        <v/>
      </c>
      <c r="H68" s="9" t="n">
        <v>0</v>
      </c>
      <c r="I68" s="29">
        <f>IF(C68&gt;=B68,"Fast","Slow")</f>
        <v/>
      </c>
      <c r="J68" s="29">
        <f>IF(F68&gt;=E68,"Fast","Slow")</f>
        <v/>
      </c>
      <c r="K68" s="29">
        <f>MAX(ABS(D68-D67),ABS(G68-G67))</f>
        <v/>
      </c>
    </row>
    <row r="69">
      <c r="A69" s="9" t="n">
        <v>6</v>
      </c>
      <c r="B69" s="29">
        <f>0.5*(1+0.9*D68)+0.5*(1+0.9*G68)</f>
        <v/>
      </c>
      <c r="C69" s="29">
        <f>0.5*(2+0.9*D68)+0.5*(2+0.9*G68)</f>
        <v/>
      </c>
      <c r="D69" s="29">
        <f>MAX(B69,C69)</f>
        <v/>
      </c>
      <c r="E69" s="29">
        <f>0.5*(1+0.9*D69)+0.5*(1+0.9*G68)</f>
        <v/>
      </c>
      <c r="F69" s="29">
        <f>1*(-10+0.9*H68)</f>
        <v/>
      </c>
      <c r="G69" s="29">
        <f>MAX(E69,F69)</f>
        <v/>
      </c>
      <c r="H69" s="9" t="n">
        <v>0</v>
      </c>
      <c r="I69" s="29">
        <f>IF(C69&gt;=B69,"Fast","Slow")</f>
        <v/>
      </c>
      <c r="J69" s="29">
        <f>IF(F69&gt;=E69,"Fast","Slow")</f>
        <v/>
      </c>
      <c r="K69" s="29">
        <f>MAX(ABS(D69-D68),ABS(G69-G68))</f>
        <v/>
      </c>
    </row>
    <row r="70">
      <c r="A70" s="9" t="n">
        <v>7</v>
      </c>
      <c r="B70" s="29">
        <f>0.5*(1+0.9*D69)+0.5*(1+0.9*G69)</f>
        <v/>
      </c>
      <c r="C70" s="29">
        <f>0.5*(2+0.9*D69)+0.5*(2+0.9*G69)</f>
        <v/>
      </c>
      <c r="D70" s="29">
        <f>MAX(B70,C70)</f>
        <v/>
      </c>
      <c r="E70" s="29">
        <f>0.5*(1+0.9*D70)+0.5*(1+0.9*G69)</f>
        <v/>
      </c>
      <c r="F70" s="29">
        <f>1*(-10+0.9*H69)</f>
        <v/>
      </c>
      <c r="G70" s="29">
        <f>MAX(E70,F70)</f>
        <v/>
      </c>
      <c r="H70" s="9" t="n">
        <v>0</v>
      </c>
      <c r="I70" s="29">
        <f>IF(C70&gt;=B70,"Fast","Slow")</f>
        <v/>
      </c>
      <c r="J70" s="29">
        <f>IF(F70&gt;=E70,"Fast","Slow")</f>
        <v/>
      </c>
      <c r="K70" s="29">
        <f>MAX(ABS(D70-D69),ABS(G70-G69))</f>
        <v/>
      </c>
    </row>
    <row r="71">
      <c r="A71" s="9" t="n">
        <v>8</v>
      </c>
      <c r="B71" s="29">
        <f>0.5*(1+0.9*D70)+0.5*(1+0.9*G70)</f>
        <v/>
      </c>
      <c r="C71" s="29">
        <f>0.5*(2+0.9*D70)+0.5*(2+0.9*G70)</f>
        <v/>
      </c>
      <c r="D71" s="29">
        <f>MAX(B71,C71)</f>
        <v/>
      </c>
      <c r="E71" s="29">
        <f>0.5*(1+0.9*D71)+0.5*(1+0.9*G70)</f>
        <v/>
      </c>
      <c r="F71" s="29">
        <f>1*(-10+0.9*H70)</f>
        <v/>
      </c>
      <c r="G71" s="29">
        <f>MAX(E71,F71)</f>
        <v/>
      </c>
      <c r="H71" s="9" t="n">
        <v>0</v>
      </c>
      <c r="I71" s="29">
        <f>IF(C71&gt;=B71,"Fast","Slow")</f>
        <v/>
      </c>
      <c r="J71" s="29">
        <f>IF(F71&gt;=E71,"Fast","Slow")</f>
        <v/>
      </c>
      <c r="K71" s="29">
        <f>MAX(ABS(D71-D70),ABS(G71-G70))</f>
        <v/>
      </c>
    </row>
    <row r="72">
      <c r="A72" s="9" t="n">
        <v>9</v>
      </c>
      <c r="B72" s="29">
        <f>0.5*(1+0.9*D71)+0.5*(1+0.9*G71)</f>
        <v/>
      </c>
      <c r="C72" s="29">
        <f>0.5*(2+0.9*D71)+0.5*(2+0.9*G71)</f>
        <v/>
      </c>
      <c r="D72" s="29">
        <f>MAX(B72,C72)</f>
        <v/>
      </c>
      <c r="E72" s="29">
        <f>0.5*(1+0.9*D72)+0.5*(1+0.9*G71)</f>
        <v/>
      </c>
      <c r="F72" s="29">
        <f>1*(-10+0.9*H71)</f>
        <v/>
      </c>
      <c r="G72" s="29">
        <f>MAX(E72,F72)</f>
        <v/>
      </c>
      <c r="H72" s="9" t="n">
        <v>0</v>
      </c>
      <c r="I72" s="29">
        <f>IF(C72&gt;=B72,"Fast","Slow")</f>
        <v/>
      </c>
      <c r="J72" s="29">
        <f>IF(F72&gt;=E72,"Fast","Slow")</f>
        <v/>
      </c>
      <c r="K72" s="29">
        <f>MAX(ABS(D72-D71),ABS(G72-G71))</f>
        <v/>
      </c>
    </row>
    <row r="73">
      <c r="A73" s="9" t="n">
        <v>10</v>
      </c>
      <c r="B73" s="29">
        <f>0.5*(1+0.9*D72)+0.5*(1+0.9*G72)</f>
        <v/>
      </c>
      <c r="C73" s="29">
        <f>0.5*(2+0.9*D72)+0.5*(2+0.9*G72)</f>
        <v/>
      </c>
      <c r="D73" s="29">
        <f>MAX(B73,C73)</f>
        <v/>
      </c>
      <c r="E73" s="29">
        <f>0.5*(1+0.9*D73)+0.5*(1+0.9*G72)</f>
        <v/>
      </c>
      <c r="F73" s="29">
        <f>1*(-10+0.9*H72)</f>
        <v/>
      </c>
      <c r="G73" s="29">
        <f>MAX(E73,F73)</f>
        <v/>
      </c>
      <c r="H73" s="9" t="n">
        <v>0</v>
      </c>
      <c r="I73" s="29">
        <f>IF(C73&gt;=B73,"Fast","Slow")</f>
        <v/>
      </c>
      <c r="J73" s="29">
        <f>IF(F73&gt;=E73,"Fast","Slow")</f>
        <v/>
      </c>
      <c r="K73" s="29">
        <f>MAX(ABS(D73-D72),ABS(G73-G72))</f>
        <v/>
      </c>
    </row>
    <row r="74">
      <c r="A74" s="9" t="n">
        <v>11</v>
      </c>
      <c r="B74" s="29">
        <f>0.5*(1+0.9*D73)+0.5*(1+0.9*G73)</f>
        <v/>
      </c>
      <c r="C74" s="29">
        <f>0.5*(2+0.9*D73)+0.5*(2+0.9*G73)</f>
        <v/>
      </c>
      <c r="D74" s="29">
        <f>MAX(B74,C74)</f>
        <v/>
      </c>
      <c r="E74" s="29">
        <f>0.5*(1+0.9*D74)+0.5*(1+0.9*G73)</f>
        <v/>
      </c>
      <c r="F74" s="29">
        <f>1*(-10+0.9*H73)</f>
        <v/>
      </c>
      <c r="G74" s="29">
        <f>MAX(E74,F74)</f>
        <v/>
      </c>
      <c r="H74" s="9" t="n">
        <v>0</v>
      </c>
      <c r="I74" s="29">
        <f>IF(C74&gt;=B74,"Fast","Slow")</f>
        <v/>
      </c>
      <c r="J74" s="29">
        <f>IF(F74&gt;=E74,"Fast","Slow")</f>
        <v/>
      </c>
      <c r="K74" s="29">
        <f>MAX(ABS(D74-D73),ABS(G74-G73))</f>
        <v/>
      </c>
    </row>
    <row r="75">
      <c r="A75" s="9" t="n">
        <v>12</v>
      </c>
      <c r="B75" s="29">
        <f>0.5*(1+0.9*D74)+0.5*(1+0.9*G74)</f>
        <v/>
      </c>
      <c r="C75" s="29">
        <f>0.5*(2+0.9*D74)+0.5*(2+0.9*G74)</f>
        <v/>
      </c>
      <c r="D75" s="29">
        <f>MAX(B75,C75)</f>
        <v/>
      </c>
      <c r="E75" s="29">
        <f>0.5*(1+0.9*D75)+0.5*(1+0.9*G74)</f>
        <v/>
      </c>
      <c r="F75" s="29">
        <f>1*(-10+0.9*H74)</f>
        <v/>
      </c>
      <c r="G75" s="29">
        <f>MAX(E75,F75)</f>
        <v/>
      </c>
      <c r="H75" s="9" t="n">
        <v>0</v>
      </c>
      <c r="I75" s="29">
        <f>IF(C75&gt;=B75,"Fast","Slow")</f>
        <v/>
      </c>
      <c r="J75" s="29">
        <f>IF(F75&gt;=E75,"Fast","Slow")</f>
        <v/>
      </c>
      <c r="K75" s="29">
        <f>MAX(ABS(D75-D74),ABS(G75-G74))</f>
        <v/>
      </c>
    </row>
    <row r="76">
      <c r="A76" s="9" t="n">
        <v>13</v>
      </c>
      <c r="B76" s="29">
        <f>0.5*(1+0.9*D75)+0.5*(1+0.9*G75)</f>
        <v/>
      </c>
      <c r="C76" s="29">
        <f>0.5*(2+0.9*D75)+0.5*(2+0.9*G75)</f>
        <v/>
      </c>
      <c r="D76" s="29">
        <f>MAX(B76,C76)</f>
        <v/>
      </c>
      <c r="E76" s="29">
        <f>0.5*(1+0.9*D76)+0.5*(1+0.9*G75)</f>
        <v/>
      </c>
      <c r="F76" s="29">
        <f>1*(-10+0.9*H75)</f>
        <v/>
      </c>
      <c r="G76" s="29">
        <f>MAX(E76,F76)</f>
        <v/>
      </c>
      <c r="H76" s="9" t="n">
        <v>0</v>
      </c>
      <c r="I76" s="29">
        <f>IF(C76&gt;=B76,"Fast","Slow")</f>
        <v/>
      </c>
      <c r="J76" s="29">
        <f>IF(F76&gt;=E76,"Fast","Slow")</f>
        <v/>
      </c>
      <c r="K76" s="29">
        <f>MAX(ABS(D76-D75),ABS(G76-G75))</f>
        <v/>
      </c>
    </row>
    <row r="77">
      <c r="A77" s="9" t="n">
        <v>14</v>
      </c>
      <c r="B77" s="29">
        <f>0.5*(1+0.9*D76)+0.5*(1+0.9*G76)</f>
        <v/>
      </c>
      <c r="C77" s="29">
        <f>0.5*(2+0.9*D76)+0.5*(2+0.9*G76)</f>
        <v/>
      </c>
      <c r="D77" s="29">
        <f>MAX(B77,C77)</f>
        <v/>
      </c>
      <c r="E77" s="29">
        <f>0.5*(1+0.9*D77)+0.5*(1+0.9*G76)</f>
        <v/>
      </c>
      <c r="F77" s="29">
        <f>1*(-10+0.9*H76)</f>
        <v/>
      </c>
      <c r="G77" s="29">
        <f>MAX(E77,F77)</f>
        <v/>
      </c>
      <c r="H77" s="9" t="n">
        <v>0</v>
      </c>
      <c r="I77" s="29">
        <f>IF(C77&gt;=B77,"Fast","Slow")</f>
        <v/>
      </c>
      <c r="J77" s="29">
        <f>IF(F77&gt;=E77,"Fast","Slow")</f>
        <v/>
      </c>
      <c r="K77" s="29">
        <f>MAX(ABS(D77-D76),ABS(G77-G76))</f>
        <v/>
      </c>
    </row>
    <row r="78">
      <c r="A78" s="9" t="n">
        <v>15</v>
      </c>
      <c r="B78" s="29">
        <f>0.5*(1+0.9*D77)+0.5*(1+0.9*G77)</f>
        <v/>
      </c>
      <c r="C78" s="29">
        <f>0.5*(2+0.9*D77)+0.5*(2+0.9*G77)</f>
        <v/>
      </c>
      <c r="D78" s="29">
        <f>MAX(B78,C78)</f>
        <v/>
      </c>
      <c r="E78" s="29">
        <f>0.5*(1+0.9*D78)+0.5*(1+0.9*G77)</f>
        <v/>
      </c>
      <c r="F78" s="29">
        <f>1*(-10+0.9*H77)</f>
        <v/>
      </c>
      <c r="G78" s="29">
        <f>MAX(E78,F78)</f>
        <v/>
      </c>
      <c r="H78" s="9" t="n">
        <v>0</v>
      </c>
      <c r="I78" s="29">
        <f>IF(C78&gt;=B78,"Fast","Slow")</f>
        <v/>
      </c>
      <c r="J78" s="29">
        <f>IF(F78&gt;=E78,"Fast","Slow")</f>
        <v/>
      </c>
      <c r="K78" s="29">
        <f>MAX(ABS(D78-D77),ABS(G78-G77))</f>
        <v/>
      </c>
    </row>
    <row r="79">
      <c r="A79" s="9" t="n">
        <v>16</v>
      </c>
      <c r="B79" s="29">
        <f>0.5*(1+0.9*D78)+0.5*(1+0.9*G78)</f>
        <v/>
      </c>
      <c r="C79" s="29">
        <f>0.5*(2+0.9*D78)+0.5*(2+0.9*G78)</f>
        <v/>
      </c>
      <c r="D79" s="29">
        <f>MAX(B79,C79)</f>
        <v/>
      </c>
      <c r="E79" s="29">
        <f>0.5*(1+0.9*D79)+0.5*(1+0.9*G78)</f>
        <v/>
      </c>
      <c r="F79" s="29">
        <f>1*(-10+0.9*H78)</f>
        <v/>
      </c>
      <c r="G79" s="29">
        <f>MAX(E79,F79)</f>
        <v/>
      </c>
      <c r="H79" s="9" t="n">
        <v>0</v>
      </c>
      <c r="I79" s="29">
        <f>IF(C79&gt;=B79,"Fast","Slow")</f>
        <v/>
      </c>
      <c r="J79" s="29">
        <f>IF(F79&gt;=E79,"Fast","Slow")</f>
        <v/>
      </c>
      <c r="K79" s="29">
        <f>MAX(ABS(D79-D78),ABS(G79-G78))</f>
        <v/>
      </c>
    </row>
    <row r="80">
      <c r="A80" s="9" t="n">
        <v>17</v>
      </c>
      <c r="B80" s="29">
        <f>0.5*(1+0.9*D79)+0.5*(1+0.9*G79)</f>
        <v/>
      </c>
      <c r="C80" s="29">
        <f>0.5*(2+0.9*D79)+0.5*(2+0.9*G79)</f>
        <v/>
      </c>
      <c r="D80" s="29">
        <f>MAX(B80,C80)</f>
        <v/>
      </c>
      <c r="E80" s="29">
        <f>0.5*(1+0.9*D80)+0.5*(1+0.9*G79)</f>
        <v/>
      </c>
      <c r="F80" s="29">
        <f>1*(-10+0.9*H79)</f>
        <v/>
      </c>
      <c r="G80" s="29">
        <f>MAX(E80,F80)</f>
        <v/>
      </c>
      <c r="H80" s="9" t="n">
        <v>0</v>
      </c>
      <c r="I80" s="29">
        <f>IF(C80&gt;=B80,"Fast","Slow")</f>
        <v/>
      </c>
      <c r="J80" s="29">
        <f>IF(F80&gt;=E80,"Fast","Slow")</f>
        <v/>
      </c>
      <c r="K80" s="29">
        <f>MAX(ABS(D80-D79),ABS(G80-G79))</f>
        <v/>
      </c>
    </row>
    <row r="81">
      <c r="A81" s="9" t="n">
        <v>18</v>
      </c>
      <c r="B81" s="29">
        <f>0.5*(1+0.9*D80)+0.5*(1+0.9*G80)</f>
        <v/>
      </c>
      <c r="C81" s="29">
        <f>0.5*(2+0.9*D80)+0.5*(2+0.9*G80)</f>
        <v/>
      </c>
      <c r="D81" s="29">
        <f>MAX(B81,C81)</f>
        <v/>
      </c>
      <c r="E81" s="29">
        <f>0.5*(1+0.9*D81)+0.5*(1+0.9*G80)</f>
        <v/>
      </c>
      <c r="F81" s="29">
        <f>1*(-10+0.9*H80)</f>
        <v/>
      </c>
      <c r="G81" s="29">
        <f>MAX(E81,F81)</f>
        <v/>
      </c>
      <c r="H81" s="9" t="n">
        <v>0</v>
      </c>
      <c r="I81" s="29">
        <f>IF(C81&gt;=B81,"Fast","Slow")</f>
        <v/>
      </c>
      <c r="J81" s="29">
        <f>IF(F81&gt;=E81,"Fast","Slow")</f>
        <v/>
      </c>
      <c r="K81" s="29">
        <f>MAX(ABS(D81-D80),ABS(G81-G80))</f>
        <v/>
      </c>
    </row>
    <row r="82">
      <c r="A82" s="9" t="n">
        <v>19</v>
      </c>
      <c r="B82" s="29">
        <f>0.5*(1+0.9*D81)+0.5*(1+0.9*G81)</f>
        <v/>
      </c>
      <c r="C82" s="29">
        <f>0.5*(2+0.9*D81)+0.5*(2+0.9*G81)</f>
        <v/>
      </c>
      <c r="D82" s="29">
        <f>MAX(B82,C82)</f>
        <v/>
      </c>
      <c r="E82" s="29">
        <f>0.5*(1+0.9*D82)+0.5*(1+0.9*G81)</f>
        <v/>
      </c>
      <c r="F82" s="29">
        <f>1*(-10+0.9*H81)</f>
        <v/>
      </c>
      <c r="G82" s="29">
        <f>MAX(E82,F82)</f>
        <v/>
      </c>
      <c r="H82" s="9" t="n">
        <v>0</v>
      </c>
      <c r="I82" s="29">
        <f>IF(C82&gt;=B82,"Fast","Slow")</f>
        <v/>
      </c>
      <c r="J82" s="29">
        <f>IF(F82&gt;=E82,"Fast","Slow")</f>
        <v/>
      </c>
      <c r="K82" s="29">
        <f>MAX(ABS(D82-D81),ABS(G82-G81))</f>
        <v/>
      </c>
    </row>
    <row r="83">
      <c r="A83" s="9" t="n">
        <v>20</v>
      </c>
      <c r="B83" s="29">
        <f>0.5*(1+0.9*D82)+0.5*(1+0.9*G82)</f>
        <v/>
      </c>
      <c r="C83" s="29">
        <f>0.5*(2+0.9*D82)+0.5*(2+0.9*G82)</f>
        <v/>
      </c>
      <c r="D83" s="29">
        <f>MAX(B83,C83)</f>
        <v/>
      </c>
      <c r="E83" s="29">
        <f>0.5*(1+0.9*D83)+0.5*(1+0.9*G82)</f>
        <v/>
      </c>
      <c r="F83" s="29">
        <f>1*(-10+0.9*H82)</f>
        <v/>
      </c>
      <c r="G83" s="29">
        <f>MAX(E83,F83)</f>
        <v/>
      </c>
      <c r="H83" s="9" t="n">
        <v>0</v>
      </c>
      <c r="I83" s="29">
        <f>IF(C83&gt;=B83,"Fast","Slow")</f>
        <v/>
      </c>
      <c r="J83" s="29">
        <f>IF(F83&gt;=E83,"Fast","Slow")</f>
        <v/>
      </c>
      <c r="K83" s="29">
        <f>MAX(ABS(D83-D82),ABS(G83-G82))</f>
        <v/>
      </c>
    </row>
    <row r="84">
      <c r="A84" s="9" t="n">
        <v>21</v>
      </c>
      <c r="B84" s="29">
        <f>0.5*(1+0.9*D83)+0.5*(1+0.9*G83)</f>
        <v/>
      </c>
      <c r="C84" s="29">
        <f>0.5*(2+0.9*D83)+0.5*(2+0.9*G83)</f>
        <v/>
      </c>
      <c r="D84" s="29">
        <f>MAX(B84,C84)</f>
        <v/>
      </c>
      <c r="E84" s="29">
        <f>0.5*(1+0.9*D84)+0.5*(1+0.9*G83)</f>
        <v/>
      </c>
      <c r="F84" s="29">
        <f>1*(-10+0.9*H83)</f>
        <v/>
      </c>
      <c r="G84" s="29">
        <f>MAX(E84,F84)</f>
        <v/>
      </c>
      <c r="H84" s="9" t="n">
        <v>0</v>
      </c>
      <c r="I84" s="29">
        <f>IF(C84&gt;=B84,"Fast","Slow")</f>
        <v/>
      </c>
      <c r="J84" s="29">
        <f>IF(F84&gt;=E84,"Fast","Slow")</f>
        <v/>
      </c>
      <c r="K84" s="29">
        <f>MAX(ABS(D84-D83),ABS(G84-G83))</f>
        <v/>
      </c>
    </row>
    <row r="85">
      <c r="A85" s="9" t="n">
        <v>22</v>
      </c>
      <c r="B85" s="29">
        <f>0.5*(1+0.9*D84)+0.5*(1+0.9*G84)</f>
        <v/>
      </c>
      <c r="C85" s="29">
        <f>0.5*(2+0.9*D84)+0.5*(2+0.9*G84)</f>
        <v/>
      </c>
      <c r="D85" s="29">
        <f>MAX(B85,C85)</f>
        <v/>
      </c>
      <c r="E85" s="29">
        <f>0.5*(1+0.9*D85)+0.5*(1+0.9*G84)</f>
        <v/>
      </c>
      <c r="F85" s="29">
        <f>1*(-10+0.9*H84)</f>
        <v/>
      </c>
      <c r="G85" s="29">
        <f>MAX(E85,F85)</f>
        <v/>
      </c>
      <c r="H85" s="9" t="n">
        <v>0</v>
      </c>
      <c r="I85" s="29">
        <f>IF(C85&gt;=B85,"Fast","Slow")</f>
        <v/>
      </c>
      <c r="J85" s="29">
        <f>IF(F85&gt;=E85,"Fast","Slow")</f>
        <v/>
      </c>
      <c r="K85" s="29">
        <f>MAX(ABS(D85-D84),ABS(G85-G84))</f>
        <v/>
      </c>
    </row>
    <row r="86">
      <c r="A86" s="9" t="n">
        <v>23</v>
      </c>
      <c r="B86" s="29">
        <f>0.5*(1+0.9*D85)+0.5*(1+0.9*G85)</f>
        <v/>
      </c>
      <c r="C86" s="29">
        <f>0.5*(2+0.9*D85)+0.5*(2+0.9*G85)</f>
        <v/>
      </c>
      <c r="D86" s="29">
        <f>MAX(B86,C86)</f>
        <v/>
      </c>
      <c r="E86" s="29">
        <f>0.5*(1+0.9*D86)+0.5*(1+0.9*G85)</f>
        <v/>
      </c>
      <c r="F86" s="29">
        <f>1*(-10+0.9*H85)</f>
        <v/>
      </c>
      <c r="G86" s="29">
        <f>MAX(E86,F86)</f>
        <v/>
      </c>
      <c r="H86" s="9" t="n">
        <v>0</v>
      </c>
      <c r="I86" s="29">
        <f>IF(C86&gt;=B86,"Fast","Slow")</f>
        <v/>
      </c>
      <c r="J86" s="29">
        <f>IF(F86&gt;=E86,"Fast","Slow")</f>
        <v/>
      </c>
      <c r="K86" s="29">
        <f>MAX(ABS(D86-D85),ABS(G86-G85))</f>
        <v/>
      </c>
    </row>
    <row r="87">
      <c r="A87" s="9" t="n">
        <v>24</v>
      </c>
      <c r="B87" s="29">
        <f>0.5*(1+0.9*D86)+0.5*(1+0.9*G86)</f>
        <v/>
      </c>
      <c r="C87" s="29">
        <f>0.5*(2+0.9*D86)+0.5*(2+0.9*G86)</f>
        <v/>
      </c>
      <c r="D87" s="29">
        <f>MAX(B87,C87)</f>
        <v/>
      </c>
      <c r="E87" s="29">
        <f>0.5*(1+0.9*D87)+0.5*(1+0.9*G86)</f>
        <v/>
      </c>
      <c r="F87" s="29">
        <f>1*(-10+0.9*H86)</f>
        <v/>
      </c>
      <c r="G87" s="29">
        <f>MAX(E87,F87)</f>
        <v/>
      </c>
      <c r="H87" s="9" t="n">
        <v>0</v>
      </c>
      <c r="I87" s="29">
        <f>IF(C87&gt;=B87,"Fast","Slow")</f>
        <v/>
      </c>
      <c r="J87" s="29">
        <f>IF(F87&gt;=E87,"Fast","Slow")</f>
        <v/>
      </c>
      <c r="K87" s="29">
        <f>MAX(ABS(D87-D86),ABS(G87-G86))</f>
        <v/>
      </c>
    </row>
    <row r="88">
      <c r="A88" s="9" t="n">
        <v>25</v>
      </c>
      <c r="B88" s="29">
        <f>0.5*(1+0.9*D87)+0.5*(1+0.9*G87)</f>
        <v/>
      </c>
      <c r="C88" s="29">
        <f>0.5*(2+0.9*D87)+0.5*(2+0.9*G87)</f>
        <v/>
      </c>
      <c r="D88" s="29">
        <f>MAX(B88,C88)</f>
        <v/>
      </c>
      <c r="E88" s="29">
        <f>0.5*(1+0.9*D88)+0.5*(1+0.9*G87)</f>
        <v/>
      </c>
      <c r="F88" s="29">
        <f>1*(-10+0.9*H87)</f>
        <v/>
      </c>
      <c r="G88" s="29">
        <f>MAX(E88,F88)</f>
        <v/>
      </c>
      <c r="H88" s="9" t="n">
        <v>0</v>
      </c>
      <c r="I88" s="29">
        <f>IF(C88&gt;=B88,"Fast","Slow")</f>
        <v/>
      </c>
      <c r="J88" s="29">
        <f>IF(F88&gt;=E88,"Fast","Slow")</f>
        <v/>
      </c>
      <c r="K88" s="29">
        <f>MAX(ABS(D88-D87),ABS(G88-G87))</f>
        <v/>
      </c>
    </row>
    <row r="89">
      <c r="A89" s="9" t="n">
        <v>26</v>
      </c>
      <c r="B89" s="29">
        <f>0.5*(1+0.9*D88)+0.5*(1+0.9*G88)</f>
        <v/>
      </c>
      <c r="C89" s="29">
        <f>0.5*(2+0.9*D88)+0.5*(2+0.9*G88)</f>
        <v/>
      </c>
      <c r="D89" s="29">
        <f>MAX(B89,C89)</f>
        <v/>
      </c>
      <c r="E89" s="29">
        <f>0.5*(1+0.9*D89)+0.5*(1+0.9*G88)</f>
        <v/>
      </c>
      <c r="F89" s="29">
        <f>1*(-10+0.9*H88)</f>
        <v/>
      </c>
      <c r="G89" s="29">
        <f>MAX(E89,F89)</f>
        <v/>
      </c>
      <c r="H89" s="9" t="n">
        <v>0</v>
      </c>
      <c r="I89" s="29">
        <f>IF(C89&gt;=B89,"Fast","Slow")</f>
        <v/>
      </c>
      <c r="J89" s="29">
        <f>IF(F89&gt;=E89,"Fast","Slow")</f>
        <v/>
      </c>
      <c r="K89" s="29">
        <f>MAX(ABS(D89-D88),ABS(G89-G88))</f>
        <v/>
      </c>
    </row>
    <row r="90">
      <c r="A90" s="9" t="n">
        <v>27</v>
      </c>
      <c r="B90" s="29">
        <f>0.5*(1+0.9*D89)+0.5*(1+0.9*G89)</f>
        <v/>
      </c>
      <c r="C90" s="29">
        <f>0.5*(2+0.9*D89)+0.5*(2+0.9*G89)</f>
        <v/>
      </c>
      <c r="D90" s="29">
        <f>MAX(B90,C90)</f>
        <v/>
      </c>
      <c r="E90" s="29">
        <f>0.5*(1+0.9*D90)+0.5*(1+0.9*G89)</f>
        <v/>
      </c>
      <c r="F90" s="29">
        <f>1*(-10+0.9*H89)</f>
        <v/>
      </c>
      <c r="G90" s="29">
        <f>MAX(E90,F90)</f>
        <v/>
      </c>
      <c r="H90" s="9" t="n">
        <v>0</v>
      </c>
      <c r="I90" s="29">
        <f>IF(C90&gt;=B90,"Fast","Slow")</f>
        <v/>
      </c>
      <c r="J90" s="29">
        <f>IF(F90&gt;=E90,"Fast","Slow")</f>
        <v/>
      </c>
      <c r="K90" s="29">
        <f>MAX(ABS(D90-D89),ABS(G90-G89))</f>
        <v/>
      </c>
    </row>
    <row r="91">
      <c r="A91" s="9" t="n">
        <v>28</v>
      </c>
      <c r="B91" s="29">
        <f>0.5*(1+0.9*D90)+0.5*(1+0.9*G90)</f>
        <v/>
      </c>
      <c r="C91" s="29">
        <f>0.5*(2+0.9*D90)+0.5*(2+0.9*G90)</f>
        <v/>
      </c>
      <c r="D91" s="29">
        <f>MAX(B91,C91)</f>
        <v/>
      </c>
      <c r="E91" s="29">
        <f>0.5*(1+0.9*D91)+0.5*(1+0.9*G90)</f>
        <v/>
      </c>
      <c r="F91" s="29">
        <f>1*(-10+0.9*H90)</f>
        <v/>
      </c>
      <c r="G91" s="29">
        <f>MAX(E91,F91)</f>
        <v/>
      </c>
      <c r="H91" s="9" t="n">
        <v>0</v>
      </c>
      <c r="I91" s="29">
        <f>IF(C91&gt;=B91,"Fast","Slow")</f>
        <v/>
      </c>
      <c r="J91" s="29">
        <f>IF(F91&gt;=E91,"Fast","Slow")</f>
        <v/>
      </c>
      <c r="K91" s="29">
        <f>MAX(ABS(D91-D90),ABS(G91-G90))</f>
        <v/>
      </c>
    </row>
    <row r="92">
      <c r="A92" s="9" t="n">
        <v>29</v>
      </c>
      <c r="B92" s="29">
        <f>0.5*(1+0.9*D91)+0.5*(1+0.9*G91)</f>
        <v/>
      </c>
      <c r="C92" s="29">
        <f>0.5*(2+0.9*D91)+0.5*(2+0.9*G91)</f>
        <v/>
      </c>
      <c r="D92" s="29">
        <f>MAX(B92,C92)</f>
        <v/>
      </c>
      <c r="E92" s="29">
        <f>0.5*(1+0.9*D92)+0.5*(1+0.9*G91)</f>
        <v/>
      </c>
      <c r="F92" s="29">
        <f>1*(-10+0.9*H91)</f>
        <v/>
      </c>
      <c r="G92" s="29">
        <f>MAX(E92,F92)</f>
        <v/>
      </c>
      <c r="H92" s="9" t="n">
        <v>0</v>
      </c>
      <c r="I92" s="29">
        <f>IF(C92&gt;=B92,"Fast","Slow")</f>
        <v/>
      </c>
      <c r="J92" s="29">
        <f>IF(F92&gt;=E92,"Fast","Slow")</f>
        <v/>
      </c>
      <c r="K92" s="29">
        <f>MAX(ABS(D92-D91),ABS(G92-G91))</f>
        <v/>
      </c>
    </row>
    <row r="93">
      <c r="A93" s="9" t="n">
        <v>30</v>
      </c>
      <c r="B93" s="29">
        <f>0.5*(1+0.9*D92)+0.5*(1+0.9*G92)</f>
        <v/>
      </c>
      <c r="C93" s="29">
        <f>0.5*(2+0.9*D92)+0.5*(2+0.9*G92)</f>
        <v/>
      </c>
      <c r="D93" s="29">
        <f>MAX(B93,C93)</f>
        <v/>
      </c>
      <c r="E93" s="29">
        <f>0.5*(1+0.9*D93)+0.5*(1+0.9*G92)</f>
        <v/>
      </c>
      <c r="F93" s="29">
        <f>1*(-10+0.9*H92)</f>
        <v/>
      </c>
      <c r="G93" s="29">
        <f>MAX(E93,F93)</f>
        <v/>
      </c>
      <c r="H93" s="9" t="n">
        <v>0</v>
      </c>
      <c r="I93" s="29">
        <f>IF(C93&gt;=B93,"Fast","Slow")</f>
        <v/>
      </c>
      <c r="J93" s="29">
        <f>IF(F93&gt;=E93,"Fast","Slow")</f>
        <v/>
      </c>
      <c r="K93" s="29">
        <f>MAX(ABS(D93-D92),ABS(G93-G92))</f>
        <v/>
      </c>
    </row>
    <row r="94">
      <c r="A94" s="9" t="n">
        <v>31</v>
      </c>
      <c r="B94" s="29">
        <f>0.5*(1+0.9*D93)+0.5*(1+0.9*G93)</f>
        <v/>
      </c>
      <c r="C94" s="29">
        <f>0.5*(2+0.9*D93)+0.5*(2+0.9*G93)</f>
        <v/>
      </c>
      <c r="D94" s="29">
        <f>MAX(B94,C94)</f>
        <v/>
      </c>
      <c r="E94" s="29">
        <f>0.5*(1+0.9*D94)+0.5*(1+0.9*G93)</f>
        <v/>
      </c>
      <c r="F94" s="29">
        <f>1*(-10+0.9*H93)</f>
        <v/>
      </c>
      <c r="G94" s="29">
        <f>MAX(E94,F94)</f>
        <v/>
      </c>
      <c r="H94" s="9" t="n">
        <v>0</v>
      </c>
      <c r="I94" s="29">
        <f>IF(C94&gt;=B94,"Fast","Slow")</f>
        <v/>
      </c>
      <c r="J94" s="29">
        <f>IF(F94&gt;=E94,"Fast","Slow")</f>
        <v/>
      </c>
      <c r="K94" s="29">
        <f>MAX(ABS(D94-D93),ABS(G94-G93))</f>
        <v/>
      </c>
    </row>
    <row r="95">
      <c r="A95" s="9" t="n">
        <v>32</v>
      </c>
      <c r="B95" s="29">
        <f>0.5*(1+0.9*D94)+0.5*(1+0.9*G94)</f>
        <v/>
      </c>
      <c r="C95" s="29">
        <f>0.5*(2+0.9*D94)+0.5*(2+0.9*G94)</f>
        <v/>
      </c>
      <c r="D95" s="29">
        <f>MAX(B95,C95)</f>
        <v/>
      </c>
      <c r="E95" s="29">
        <f>0.5*(1+0.9*D95)+0.5*(1+0.9*G94)</f>
        <v/>
      </c>
      <c r="F95" s="29">
        <f>1*(-10+0.9*H94)</f>
        <v/>
      </c>
      <c r="G95" s="29">
        <f>MAX(E95,F95)</f>
        <v/>
      </c>
      <c r="H95" s="9" t="n">
        <v>0</v>
      </c>
      <c r="I95" s="29">
        <f>IF(C95&gt;=B95,"Fast","Slow")</f>
        <v/>
      </c>
      <c r="J95" s="29">
        <f>IF(F95&gt;=E95,"Fast","Slow")</f>
        <v/>
      </c>
      <c r="K95" s="29">
        <f>MAX(ABS(D95-D94),ABS(G95-G94))</f>
        <v/>
      </c>
    </row>
    <row r="96">
      <c r="A96" s="9" t="n">
        <v>33</v>
      </c>
      <c r="B96" s="29">
        <f>0.5*(1+0.9*D95)+0.5*(1+0.9*G95)</f>
        <v/>
      </c>
      <c r="C96" s="29">
        <f>0.5*(2+0.9*D95)+0.5*(2+0.9*G95)</f>
        <v/>
      </c>
      <c r="D96" s="29">
        <f>MAX(B96,C96)</f>
        <v/>
      </c>
      <c r="E96" s="29">
        <f>0.5*(1+0.9*D96)+0.5*(1+0.9*G95)</f>
        <v/>
      </c>
      <c r="F96" s="29">
        <f>1*(-10+0.9*H95)</f>
        <v/>
      </c>
      <c r="G96" s="29">
        <f>MAX(E96,F96)</f>
        <v/>
      </c>
      <c r="H96" s="9" t="n">
        <v>0</v>
      </c>
      <c r="I96" s="29">
        <f>IF(C96&gt;=B96,"Fast","Slow")</f>
        <v/>
      </c>
      <c r="J96" s="29">
        <f>IF(F96&gt;=E96,"Fast","Slow")</f>
        <v/>
      </c>
      <c r="K96" s="29">
        <f>MAX(ABS(D96-D95),ABS(G96-G95))</f>
        <v/>
      </c>
    </row>
    <row r="97">
      <c r="A97" s="9" t="n">
        <v>34</v>
      </c>
      <c r="B97" s="29">
        <f>0.5*(1+0.9*D96)+0.5*(1+0.9*G96)</f>
        <v/>
      </c>
      <c r="C97" s="29">
        <f>0.5*(2+0.9*D96)+0.5*(2+0.9*G96)</f>
        <v/>
      </c>
      <c r="D97" s="29">
        <f>MAX(B97,C97)</f>
        <v/>
      </c>
      <c r="E97" s="29">
        <f>0.5*(1+0.9*D97)+0.5*(1+0.9*G96)</f>
        <v/>
      </c>
      <c r="F97" s="29">
        <f>1*(-10+0.9*H96)</f>
        <v/>
      </c>
      <c r="G97" s="29">
        <f>MAX(E97,F97)</f>
        <v/>
      </c>
      <c r="H97" s="9" t="n">
        <v>0</v>
      </c>
      <c r="I97" s="29">
        <f>IF(C97&gt;=B97,"Fast","Slow")</f>
        <v/>
      </c>
      <c r="J97" s="29">
        <f>IF(F97&gt;=E97,"Fast","Slow")</f>
        <v/>
      </c>
      <c r="K97" s="29">
        <f>MAX(ABS(D97-D96),ABS(G97-G96))</f>
        <v/>
      </c>
    </row>
    <row r="98">
      <c r="A98" s="9" t="n">
        <v>35</v>
      </c>
      <c r="B98" s="29">
        <f>0.5*(1+0.9*D97)+0.5*(1+0.9*G97)</f>
        <v/>
      </c>
      <c r="C98" s="29">
        <f>0.5*(2+0.9*D97)+0.5*(2+0.9*G97)</f>
        <v/>
      </c>
      <c r="D98" s="29">
        <f>MAX(B98,C98)</f>
        <v/>
      </c>
      <c r="E98" s="29">
        <f>0.5*(1+0.9*D98)+0.5*(1+0.9*G97)</f>
        <v/>
      </c>
      <c r="F98" s="29">
        <f>1*(-10+0.9*H97)</f>
        <v/>
      </c>
      <c r="G98" s="29">
        <f>MAX(E98,F98)</f>
        <v/>
      </c>
      <c r="H98" s="9" t="n">
        <v>0</v>
      </c>
      <c r="I98" s="29">
        <f>IF(C98&gt;=B98,"Fast","Slow")</f>
        <v/>
      </c>
      <c r="J98" s="29">
        <f>IF(F98&gt;=E98,"Fast","Slow")</f>
        <v/>
      </c>
      <c r="K98" s="29">
        <f>MAX(ABS(D98-D97),ABS(G98-G97))</f>
        <v/>
      </c>
    </row>
    <row r="99">
      <c r="A99" s="9" t="n">
        <v>36</v>
      </c>
      <c r="B99" s="29">
        <f>0.5*(1+0.9*D98)+0.5*(1+0.9*G98)</f>
        <v/>
      </c>
      <c r="C99" s="29">
        <f>0.5*(2+0.9*D98)+0.5*(2+0.9*G98)</f>
        <v/>
      </c>
      <c r="D99" s="29">
        <f>MAX(B99,C99)</f>
        <v/>
      </c>
      <c r="E99" s="29">
        <f>0.5*(1+0.9*D99)+0.5*(1+0.9*G98)</f>
        <v/>
      </c>
      <c r="F99" s="29">
        <f>1*(-10+0.9*H98)</f>
        <v/>
      </c>
      <c r="G99" s="29">
        <f>MAX(E99,F99)</f>
        <v/>
      </c>
      <c r="H99" s="9" t="n">
        <v>0</v>
      </c>
      <c r="I99" s="29">
        <f>IF(C99&gt;=B99,"Fast","Slow")</f>
        <v/>
      </c>
      <c r="J99" s="29">
        <f>IF(F99&gt;=E99,"Fast","Slow")</f>
        <v/>
      </c>
      <c r="K99" s="29">
        <f>MAX(ABS(D99-D98),ABS(G99-G98))</f>
        <v/>
      </c>
    </row>
    <row r="100">
      <c r="A100" s="9" t="n">
        <v>37</v>
      </c>
      <c r="B100" s="29">
        <f>0.5*(1+0.9*D99)+0.5*(1+0.9*G99)</f>
        <v/>
      </c>
      <c r="C100" s="29">
        <f>0.5*(2+0.9*D99)+0.5*(2+0.9*G99)</f>
        <v/>
      </c>
      <c r="D100" s="29">
        <f>MAX(B100,C100)</f>
        <v/>
      </c>
      <c r="E100" s="29">
        <f>0.5*(1+0.9*D100)+0.5*(1+0.9*G99)</f>
        <v/>
      </c>
      <c r="F100" s="29">
        <f>1*(-10+0.9*H99)</f>
        <v/>
      </c>
      <c r="G100" s="29">
        <f>MAX(E100,F100)</f>
        <v/>
      </c>
      <c r="H100" s="9" t="n">
        <v>0</v>
      </c>
      <c r="I100" s="29">
        <f>IF(C100&gt;=B100,"Fast","Slow")</f>
        <v/>
      </c>
      <c r="J100" s="29">
        <f>IF(F100&gt;=E100,"Fast","Slow")</f>
        <v/>
      </c>
      <c r="K100" s="29">
        <f>MAX(ABS(D100-D99),ABS(G100-G99))</f>
        <v/>
      </c>
    </row>
    <row r="101">
      <c r="A101" s="9" t="n">
        <v>38</v>
      </c>
      <c r="B101" s="29">
        <f>0.5*(1+0.9*D100)+0.5*(1+0.9*G100)</f>
        <v/>
      </c>
      <c r="C101" s="29">
        <f>0.5*(2+0.9*D100)+0.5*(2+0.9*G100)</f>
        <v/>
      </c>
      <c r="D101" s="29">
        <f>MAX(B101,C101)</f>
        <v/>
      </c>
      <c r="E101" s="29">
        <f>0.5*(1+0.9*D101)+0.5*(1+0.9*G100)</f>
        <v/>
      </c>
      <c r="F101" s="29">
        <f>1*(-10+0.9*H100)</f>
        <v/>
      </c>
      <c r="G101" s="29">
        <f>MAX(E101,F101)</f>
        <v/>
      </c>
      <c r="H101" s="9" t="n">
        <v>0</v>
      </c>
      <c r="I101" s="29">
        <f>IF(C101&gt;=B101,"Fast","Slow")</f>
        <v/>
      </c>
      <c r="J101" s="29">
        <f>IF(F101&gt;=E101,"Fast","Slow")</f>
        <v/>
      </c>
      <c r="K101" s="29">
        <f>MAX(ABS(D101-D100),ABS(G101-G100))</f>
        <v/>
      </c>
    </row>
    <row r="102">
      <c r="A102" s="9" t="n">
        <v>39</v>
      </c>
      <c r="B102" s="29">
        <f>0.5*(1+0.9*D101)+0.5*(1+0.9*G101)</f>
        <v/>
      </c>
      <c r="C102" s="29">
        <f>0.5*(2+0.9*D101)+0.5*(2+0.9*G101)</f>
        <v/>
      </c>
      <c r="D102" s="29">
        <f>MAX(B102,C102)</f>
        <v/>
      </c>
      <c r="E102" s="29">
        <f>0.5*(1+0.9*D102)+0.5*(1+0.9*G101)</f>
        <v/>
      </c>
      <c r="F102" s="29">
        <f>1*(-10+0.9*H101)</f>
        <v/>
      </c>
      <c r="G102" s="29">
        <f>MAX(E102,F102)</f>
        <v/>
      </c>
      <c r="H102" s="9" t="n">
        <v>0</v>
      </c>
      <c r="I102" s="29">
        <f>IF(C102&gt;=B102,"Fast","Slow")</f>
        <v/>
      </c>
      <c r="J102" s="29">
        <f>IF(F102&gt;=E102,"Fast","Slow")</f>
        <v/>
      </c>
      <c r="K102" s="29">
        <f>MAX(ABS(D102-D101),ABS(G102-G101))</f>
        <v/>
      </c>
    </row>
    <row r="103">
      <c r="A103" s="9" t="n">
        <v>40</v>
      </c>
      <c r="B103" s="29">
        <f>0.5*(1+0.9*D102)+0.5*(1+0.9*G102)</f>
        <v/>
      </c>
      <c r="C103" s="29">
        <f>0.5*(2+0.9*D102)+0.5*(2+0.9*G102)</f>
        <v/>
      </c>
      <c r="D103" s="29">
        <f>MAX(B103,C103)</f>
        <v/>
      </c>
      <c r="E103" s="29">
        <f>0.5*(1+0.9*D103)+0.5*(1+0.9*G102)</f>
        <v/>
      </c>
      <c r="F103" s="29">
        <f>1*(-10+0.9*H102)</f>
        <v/>
      </c>
      <c r="G103" s="29">
        <f>MAX(E103,F103)</f>
        <v/>
      </c>
      <c r="H103" s="9" t="n">
        <v>0</v>
      </c>
      <c r="I103" s="29">
        <f>IF(C103&gt;=B103,"Fast","Slow")</f>
        <v/>
      </c>
      <c r="J103" s="29">
        <f>IF(F103&gt;=E103,"Fast","Slow")</f>
        <v/>
      </c>
      <c r="K103" s="29">
        <f>MAX(ABS(D103-D102),ABS(G103-G102))</f>
        <v/>
      </c>
    </row>
    <row r="104">
      <c r="A104" s="9" t="n">
        <v>41</v>
      </c>
      <c r="B104" s="29">
        <f>0.5*(1+0.9*D103)+0.5*(1+0.9*G103)</f>
        <v/>
      </c>
      <c r="C104" s="29">
        <f>0.5*(2+0.9*D103)+0.5*(2+0.9*G103)</f>
        <v/>
      </c>
      <c r="D104" s="29">
        <f>MAX(B104,C104)</f>
        <v/>
      </c>
      <c r="E104" s="29">
        <f>0.5*(1+0.9*D104)+0.5*(1+0.9*G103)</f>
        <v/>
      </c>
      <c r="F104" s="29">
        <f>1*(-10+0.9*H103)</f>
        <v/>
      </c>
      <c r="G104" s="29">
        <f>MAX(E104,F104)</f>
        <v/>
      </c>
      <c r="H104" s="9" t="n">
        <v>0</v>
      </c>
      <c r="I104" s="29">
        <f>IF(C104&gt;=B104,"Fast","Slow")</f>
        <v/>
      </c>
      <c r="J104" s="29">
        <f>IF(F104&gt;=E104,"Fast","Slow")</f>
        <v/>
      </c>
      <c r="K104" s="29">
        <f>MAX(ABS(D104-D103),ABS(G104-G103))</f>
        <v/>
      </c>
    </row>
    <row r="105">
      <c r="A105" s="9" t="n">
        <v>42</v>
      </c>
      <c r="B105" s="29">
        <f>0.5*(1+0.9*D104)+0.5*(1+0.9*G104)</f>
        <v/>
      </c>
      <c r="C105" s="29">
        <f>0.5*(2+0.9*D104)+0.5*(2+0.9*G104)</f>
        <v/>
      </c>
      <c r="D105" s="29">
        <f>MAX(B105,C105)</f>
        <v/>
      </c>
      <c r="E105" s="29">
        <f>0.5*(1+0.9*D105)+0.5*(1+0.9*G104)</f>
        <v/>
      </c>
      <c r="F105" s="29">
        <f>1*(-10+0.9*H104)</f>
        <v/>
      </c>
      <c r="G105" s="29">
        <f>MAX(E105,F105)</f>
        <v/>
      </c>
      <c r="H105" s="9" t="n">
        <v>0</v>
      </c>
      <c r="I105" s="29">
        <f>IF(C105&gt;=B105,"Fast","Slow")</f>
        <v/>
      </c>
      <c r="J105" s="29">
        <f>IF(F105&gt;=E105,"Fast","Slow")</f>
        <v/>
      </c>
      <c r="K105" s="29">
        <f>MAX(ABS(D105-D104),ABS(G105-G104))</f>
        <v/>
      </c>
    </row>
    <row r="106">
      <c r="A106" s="9" t="n">
        <v>43</v>
      </c>
      <c r="B106" s="29">
        <f>0.5*(1+0.9*D105)+0.5*(1+0.9*G105)</f>
        <v/>
      </c>
      <c r="C106" s="29">
        <f>0.5*(2+0.9*D105)+0.5*(2+0.9*G105)</f>
        <v/>
      </c>
      <c r="D106" s="29">
        <f>MAX(B106,C106)</f>
        <v/>
      </c>
      <c r="E106" s="29">
        <f>0.5*(1+0.9*D106)+0.5*(1+0.9*G105)</f>
        <v/>
      </c>
      <c r="F106" s="29">
        <f>1*(-10+0.9*H105)</f>
        <v/>
      </c>
      <c r="G106" s="29">
        <f>MAX(E106,F106)</f>
        <v/>
      </c>
      <c r="H106" s="9" t="n">
        <v>0</v>
      </c>
      <c r="I106" s="29">
        <f>IF(C106&gt;=B106,"Fast","Slow")</f>
        <v/>
      </c>
      <c r="J106" s="29">
        <f>IF(F106&gt;=E106,"Fast","Slow")</f>
        <v/>
      </c>
      <c r="K106" s="29">
        <f>MAX(ABS(D106-D105),ABS(G106-G105))</f>
        <v/>
      </c>
    </row>
    <row r="107">
      <c r="A107" s="9" t="n">
        <v>44</v>
      </c>
      <c r="B107" s="29">
        <f>0.5*(1+0.9*D106)+0.5*(1+0.9*G106)</f>
        <v/>
      </c>
      <c r="C107" s="29">
        <f>0.5*(2+0.9*D106)+0.5*(2+0.9*G106)</f>
        <v/>
      </c>
      <c r="D107" s="29">
        <f>MAX(B107,C107)</f>
        <v/>
      </c>
      <c r="E107" s="29">
        <f>0.5*(1+0.9*D107)+0.5*(1+0.9*G106)</f>
        <v/>
      </c>
      <c r="F107" s="29">
        <f>1*(-10+0.9*H106)</f>
        <v/>
      </c>
      <c r="G107" s="29">
        <f>MAX(E107,F107)</f>
        <v/>
      </c>
      <c r="H107" s="9" t="n">
        <v>0</v>
      </c>
      <c r="I107" s="29">
        <f>IF(C107&gt;=B107,"Fast","Slow")</f>
        <v/>
      </c>
      <c r="J107" s="29">
        <f>IF(F107&gt;=E107,"Fast","Slow")</f>
        <v/>
      </c>
      <c r="K107" s="29">
        <f>MAX(ABS(D107-D106),ABS(G107-G106))</f>
        <v/>
      </c>
    </row>
    <row r="108">
      <c r="A108" s="9" t="n">
        <v>45</v>
      </c>
      <c r="B108" s="29">
        <f>0.5*(1+0.9*D107)+0.5*(1+0.9*G107)</f>
        <v/>
      </c>
      <c r="C108" s="29">
        <f>0.5*(2+0.9*D107)+0.5*(2+0.9*G107)</f>
        <v/>
      </c>
      <c r="D108" s="29">
        <f>MAX(B108,C108)</f>
        <v/>
      </c>
      <c r="E108" s="29">
        <f>0.5*(1+0.9*D108)+0.5*(1+0.9*G107)</f>
        <v/>
      </c>
      <c r="F108" s="29">
        <f>1*(-10+0.9*H107)</f>
        <v/>
      </c>
      <c r="G108" s="29">
        <f>MAX(E108,F108)</f>
        <v/>
      </c>
      <c r="H108" s="9" t="n">
        <v>0</v>
      </c>
      <c r="I108" s="29">
        <f>IF(C108&gt;=B108,"Fast","Slow")</f>
        <v/>
      </c>
      <c r="J108" s="29">
        <f>IF(F108&gt;=E108,"Fast","Slow")</f>
        <v/>
      </c>
      <c r="K108" s="29">
        <f>MAX(ABS(D108-D107),ABS(G108-G107))</f>
        <v/>
      </c>
    </row>
    <row r="109">
      <c r="A109" s="9" t="n">
        <v>46</v>
      </c>
      <c r="B109" s="29">
        <f>0.5*(1+0.9*D108)+0.5*(1+0.9*G108)</f>
        <v/>
      </c>
      <c r="C109" s="29">
        <f>0.5*(2+0.9*D108)+0.5*(2+0.9*G108)</f>
        <v/>
      </c>
      <c r="D109" s="29">
        <f>MAX(B109,C109)</f>
        <v/>
      </c>
      <c r="E109" s="29">
        <f>0.5*(1+0.9*D109)+0.5*(1+0.9*G108)</f>
        <v/>
      </c>
      <c r="F109" s="29">
        <f>1*(-10+0.9*H108)</f>
        <v/>
      </c>
      <c r="G109" s="29">
        <f>MAX(E109,F109)</f>
        <v/>
      </c>
      <c r="H109" s="9" t="n">
        <v>0</v>
      </c>
      <c r="I109" s="29">
        <f>IF(C109&gt;=B109,"Fast","Slow")</f>
        <v/>
      </c>
      <c r="J109" s="29">
        <f>IF(F109&gt;=E109,"Fast","Slow")</f>
        <v/>
      </c>
      <c r="K109" s="29">
        <f>MAX(ABS(D109-D108),ABS(G109-G108))</f>
        <v/>
      </c>
    </row>
    <row r="110">
      <c r="A110" s="9" t="n">
        <v>47</v>
      </c>
      <c r="B110" s="29">
        <f>0.5*(1+0.9*D109)+0.5*(1+0.9*G109)</f>
        <v/>
      </c>
      <c r="C110" s="29">
        <f>0.5*(2+0.9*D109)+0.5*(2+0.9*G109)</f>
        <v/>
      </c>
      <c r="D110" s="29">
        <f>MAX(B110,C110)</f>
        <v/>
      </c>
      <c r="E110" s="29">
        <f>0.5*(1+0.9*D110)+0.5*(1+0.9*G109)</f>
        <v/>
      </c>
      <c r="F110" s="29">
        <f>1*(-10+0.9*H109)</f>
        <v/>
      </c>
      <c r="G110" s="29">
        <f>MAX(E110,F110)</f>
        <v/>
      </c>
      <c r="H110" s="9" t="n">
        <v>0</v>
      </c>
      <c r="I110" s="29">
        <f>IF(C110&gt;=B110,"Fast","Slow")</f>
        <v/>
      </c>
      <c r="J110" s="29">
        <f>IF(F110&gt;=E110,"Fast","Slow")</f>
        <v/>
      </c>
      <c r="K110" s="29">
        <f>MAX(ABS(D110-D109),ABS(G110-G109))</f>
        <v/>
      </c>
    </row>
    <row r="111">
      <c r="A111" s="9" t="n">
        <v>48</v>
      </c>
      <c r="B111" s="29">
        <f>0.5*(1+0.9*D110)+0.5*(1+0.9*G110)</f>
        <v/>
      </c>
      <c r="C111" s="29">
        <f>0.5*(2+0.9*D110)+0.5*(2+0.9*G110)</f>
        <v/>
      </c>
      <c r="D111" s="29">
        <f>MAX(B111,C111)</f>
        <v/>
      </c>
      <c r="E111" s="29">
        <f>0.5*(1+0.9*D111)+0.5*(1+0.9*G110)</f>
        <v/>
      </c>
      <c r="F111" s="29">
        <f>1*(-10+0.9*H110)</f>
        <v/>
      </c>
      <c r="G111" s="29">
        <f>MAX(E111,F111)</f>
        <v/>
      </c>
      <c r="H111" s="9" t="n">
        <v>0</v>
      </c>
      <c r="I111" s="29">
        <f>IF(C111&gt;=B111,"Fast","Slow")</f>
        <v/>
      </c>
      <c r="J111" s="29">
        <f>IF(F111&gt;=E111,"Fast","Slow")</f>
        <v/>
      </c>
      <c r="K111" s="29">
        <f>MAX(ABS(D111-D110),ABS(G111-G110))</f>
        <v/>
      </c>
    </row>
    <row r="112">
      <c r="A112" s="9" t="n">
        <v>49</v>
      </c>
      <c r="B112" s="29">
        <f>0.5*(1+0.9*D111)+0.5*(1+0.9*G111)</f>
        <v/>
      </c>
      <c r="C112" s="29">
        <f>0.5*(2+0.9*D111)+0.5*(2+0.9*G111)</f>
        <v/>
      </c>
      <c r="D112" s="29">
        <f>MAX(B112,C112)</f>
        <v/>
      </c>
      <c r="E112" s="29">
        <f>0.5*(1+0.9*D112)+0.5*(1+0.9*G111)</f>
        <v/>
      </c>
      <c r="F112" s="29">
        <f>1*(-10+0.9*H111)</f>
        <v/>
      </c>
      <c r="G112" s="29">
        <f>MAX(E112,F112)</f>
        <v/>
      </c>
      <c r="H112" s="9" t="n">
        <v>0</v>
      </c>
      <c r="I112" s="29">
        <f>IF(C112&gt;=B112,"Fast","Slow")</f>
        <v/>
      </c>
      <c r="J112" s="29">
        <f>IF(F112&gt;=E112,"Fast","Slow")</f>
        <v/>
      </c>
      <c r="K112" s="29">
        <f>MAX(ABS(D112-D111),ABS(G112-G111))</f>
        <v/>
      </c>
    </row>
    <row r="113">
      <c r="A113" s="9" t="n">
        <v>50</v>
      </c>
      <c r="B113" s="29">
        <f>0.5*(1+0.9*D112)+0.5*(1+0.9*G112)</f>
        <v/>
      </c>
      <c r="C113" s="29">
        <f>0.5*(2+0.9*D112)+0.5*(2+0.9*G112)</f>
        <v/>
      </c>
      <c r="D113" s="29">
        <f>MAX(B113,C113)</f>
        <v/>
      </c>
      <c r="E113" s="29">
        <f>0.5*(1+0.9*D113)+0.5*(1+0.9*G112)</f>
        <v/>
      </c>
      <c r="F113" s="29">
        <f>1*(-10+0.9*H112)</f>
        <v/>
      </c>
      <c r="G113" s="29">
        <f>MAX(E113,F113)</f>
        <v/>
      </c>
      <c r="H113" s="9" t="n">
        <v>0</v>
      </c>
      <c r="I113" s="29">
        <f>IF(C113&gt;=B113,"Fast","Slow")</f>
        <v/>
      </c>
      <c r="J113" s="29">
        <f>IF(F113&gt;=E113,"Fast","Slow")</f>
        <v/>
      </c>
      <c r="K113" s="29">
        <f>MAX(ABS(D113-D112),ABS(G113-G112))</f>
        <v/>
      </c>
    </row>
    <row r="114"/>
    <row r="115">
      <c r="A115" s="2" t="inlineStr">
        <is>
          <t>Converged Values Comparison</t>
        </is>
      </c>
    </row>
    <row r="116">
      <c r="A116" s="6" t="inlineStr"/>
      <c r="B116" s="6" t="inlineStr">
        <is>
          <t>V*(Cool)</t>
        </is>
      </c>
      <c r="C116" s="6" t="inlineStr">
        <is>
          <t>V*(Warm)</t>
        </is>
      </c>
      <c r="D116" s="6" t="inlineStr">
        <is>
          <t>Match?</t>
        </is>
      </c>
    </row>
    <row r="117">
      <c r="A117" s="9" t="inlineStr">
        <is>
          <t>Synchronous</t>
        </is>
      </c>
      <c r="B117" s="29">
        <f>D58</f>
        <v/>
      </c>
      <c r="C117" s="29">
        <f>G58</f>
        <v/>
      </c>
    </row>
    <row r="118">
      <c r="A118" s="9" t="inlineStr">
        <is>
          <t>In-Place</t>
        </is>
      </c>
      <c r="B118" s="29">
        <f>D113</f>
        <v/>
      </c>
      <c r="C118" s="29">
        <f>G113</f>
        <v/>
      </c>
    </row>
    <row r="119">
      <c r="A119" s="9" t="inlineStr">
        <is>
          <t>Analytical</t>
        </is>
      </c>
      <c r="B119" s="9" t="n">
        <v>15.5</v>
      </c>
      <c r="C119" s="9" t="n">
        <v>14.5</v>
      </c>
    </row>
    <row r="120">
      <c r="A120" s="9" t="inlineStr">
        <is>
          <t>Sync error</t>
        </is>
      </c>
      <c r="B120" s="29">
        <f>ABS(B117-B119)</f>
        <v/>
      </c>
      <c r="C120" s="29">
        <f>ABS(C117-C119)</f>
        <v/>
      </c>
      <c r="D120" s="29">
        <f>IF(MAX(B120,C120)&lt;0.001,"Converged","Not yet")</f>
        <v/>
      </c>
    </row>
    <row r="121">
      <c r="A121" s="9" t="inlineStr">
        <is>
          <t>InPlace error</t>
        </is>
      </c>
      <c r="B121" s="29">
        <f>ABS(B118-B119)</f>
        <v/>
      </c>
      <c r="C121" s="29">
        <f>ABS(C118-C119)</f>
        <v/>
      </c>
      <c r="D121" s="29">
        <f>IF(MAX(B121,C121)&lt;0.001,"Converged","Not yet")</f>
        <v/>
      </c>
    </row>
  </sheetData>
  <mergeCells count="4">
    <mergeCell ref="A4:S4"/>
    <mergeCell ref="A3:S3"/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58" customWidth="1" min="1" max="1"/>
    <col width="51" customWidth="1" min="2" max="2"/>
    <col width="51" customWidth="1" min="3" max="3"/>
    <col width="54" customWidth="1" min="4" max="4"/>
    <col width="17" customWidth="1" min="5" max="5"/>
    <col width="34" customWidth="1" min="6" max="6"/>
    <col width="23" customWidth="1" min="7" max="7"/>
    <col width="14" customWidth="1" min="8" max="8"/>
    <col width="16" customWidth="1" min="9" max="9"/>
    <col width="16" customWidth="1" min="10" max="10"/>
    <col width="17" customWidth="1" min="11" max="11"/>
    <col width="17" customWidth="1" min="12" max="12"/>
    <col width="34" customWidth="1" min="13" max="13"/>
    <col width="23" customWidth="1" min="14" max="14"/>
  </cols>
  <sheetData>
    <row r="1">
      <c r="A1" s="1" t="inlineStr">
        <is>
          <t>V* Convergence -- Synchronous vs In-Place approaching true V*</t>
        </is>
      </c>
    </row>
    <row r="2">
      <c r="A2" s="4" t="inlineStr">
        <is>
          <t>Analytical: V*(Cool)=15.5, V*(Warm)=14.5.  |DV| shrinks by ~gamma=0.9 each sweep (contraction mapping).</t>
        </is>
      </c>
    </row>
    <row r="3">
      <c r="A3" s="4" t="inlineStr">
        <is>
          <t>In-place converges faster: Warm immediately benefits from Cool update within the same sweep.</t>
        </is>
      </c>
    </row>
    <row r="4"/>
    <row r="5">
      <c r="A5" s="6" t="inlineStr">
        <is>
          <t>k</t>
        </is>
      </c>
      <c r="B5" s="6" t="inlineStr">
        <is>
          <t>V*(C) sync</t>
        </is>
      </c>
      <c r="C5" s="6" t="inlineStr">
        <is>
          <t>V*(W) sync</t>
        </is>
      </c>
      <c r="D5" s="6" t="inlineStr">
        <is>
          <t>|err C| sync</t>
        </is>
      </c>
      <c r="E5" s="6" t="inlineStr">
        <is>
          <t>|err W| sync</t>
        </is>
      </c>
      <c r="F5" s="6" t="inlineStr">
        <is>
          <t>|DV| sync</t>
        </is>
      </c>
      <c r="G5" s="6" t="inlineStr">
        <is>
          <t>% conv sync</t>
        </is>
      </c>
      <c r="H5" s="30" t="inlineStr"/>
      <c r="I5" s="6" t="inlineStr">
        <is>
          <t>V*(C) inp</t>
        </is>
      </c>
      <c r="J5" s="6" t="inlineStr">
        <is>
          <t>V*(W) inp</t>
        </is>
      </c>
      <c r="K5" s="6" t="inlineStr">
        <is>
          <t>|err C| inp</t>
        </is>
      </c>
      <c r="L5" s="6" t="inlineStr">
        <is>
          <t>|err W| inp</t>
        </is>
      </c>
      <c r="M5" s="6" t="inlineStr">
        <is>
          <t>|DV| inp</t>
        </is>
      </c>
      <c r="N5" s="6" t="inlineStr">
        <is>
          <t>% conv inp</t>
        </is>
      </c>
    </row>
    <row r="6">
      <c r="A6" s="9" t="n">
        <v>0</v>
      </c>
      <c r="B6" s="9" t="n">
        <v>0</v>
      </c>
      <c r="C6" s="9" t="n">
        <v>0</v>
      </c>
      <c r="D6" s="29">
        <f>ABS(B6-15.5)</f>
        <v/>
      </c>
      <c r="E6" s="29">
        <f>ABS(C6-14.5)</f>
        <v/>
      </c>
      <c r="F6" s="9" t="inlineStr">
        <is>
          <t>---</t>
        </is>
      </c>
      <c r="G6" s="29">
        <f>1-MAX(D6,E6)/15.5</f>
        <v/>
      </c>
      <c r="H6" s="9" t="inlineStr"/>
      <c r="I6" s="9" t="n">
        <v>0</v>
      </c>
      <c r="J6" s="9" t="n">
        <v>0</v>
      </c>
      <c r="K6" s="29">
        <f>ABS(I6-15.5)</f>
        <v/>
      </c>
      <c r="L6" s="29">
        <f>ABS(J6-14.5)</f>
        <v/>
      </c>
      <c r="M6" s="9" t="inlineStr">
        <is>
          <t>---</t>
        </is>
      </c>
      <c r="N6" s="29">
        <f>1-MAX(K6,L6)/15.5</f>
        <v/>
      </c>
    </row>
    <row r="7">
      <c r="A7" s="9" t="n">
        <v>1</v>
      </c>
      <c r="B7" s="29">
        <f>'DP-VI'!D9</f>
        <v/>
      </c>
      <c r="C7" s="29">
        <f>'DP-VI'!G9</f>
        <v/>
      </c>
      <c r="D7" s="29">
        <f>ABS(B7-15.5)</f>
        <v/>
      </c>
      <c r="E7" s="29">
        <f>ABS(C7-14.5)</f>
        <v/>
      </c>
      <c r="F7" s="29">
        <f>MAX(ABS(B7-B6),ABS(C7-C6))</f>
        <v/>
      </c>
      <c r="G7" s="29">
        <f>1-MAX(D7,E7)/15.5</f>
        <v/>
      </c>
      <c r="H7" s="9" t="inlineStr"/>
      <c r="I7" s="29">
        <f>'DP-VI'!D64</f>
        <v/>
      </c>
      <c r="J7" s="29">
        <f>'DP-VI'!G64</f>
        <v/>
      </c>
      <c r="K7" s="29">
        <f>ABS(I7-15.5)</f>
        <v/>
      </c>
      <c r="L7" s="29">
        <f>ABS(J7-14.5)</f>
        <v/>
      </c>
      <c r="M7" s="29">
        <f>MAX(ABS(I7-I6),ABS(J7-J6))</f>
        <v/>
      </c>
      <c r="N7" s="29">
        <f>1-MAX(K7,L7)/15.5</f>
        <v/>
      </c>
    </row>
    <row r="8">
      <c r="A8" s="9" t="n">
        <v>2</v>
      </c>
      <c r="B8" s="29">
        <f>'DP-VI'!D10</f>
        <v/>
      </c>
      <c r="C8" s="29">
        <f>'DP-VI'!G10</f>
        <v/>
      </c>
      <c r="D8" s="29">
        <f>ABS(B8-15.5)</f>
        <v/>
      </c>
      <c r="E8" s="29">
        <f>ABS(C8-14.5)</f>
        <v/>
      </c>
      <c r="F8" s="29">
        <f>MAX(ABS(B8-B7),ABS(C8-C7))</f>
        <v/>
      </c>
      <c r="G8" s="29">
        <f>1-MAX(D8,E8)/15.5</f>
        <v/>
      </c>
      <c r="H8" s="9" t="inlineStr"/>
      <c r="I8" s="29">
        <f>'DP-VI'!D65</f>
        <v/>
      </c>
      <c r="J8" s="29">
        <f>'DP-VI'!G65</f>
        <v/>
      </c>
      <c r="K8" s="29">
        <f>ABS(I8-15.5)</f>
        <v/>
      </c>
      <c r="L8" s="29">
        <f>ABS(J8-14.5)</f>
        <v/>
      </c>
      <c r="M8" s="29">
        <f>MAX(ABS(I8-I7),ABS(J8-J7))</f>
        <v/>
      </c>
      <c r="N8" s="29">
        <f>1-MAX(K8,L8)/15.5</f>
        <v/>
      </c>
    </row>
    <row r="9">
      <c r="A9" s="9" t="n">
        <v>3</v>
      </c>
      <c r="B9" s="29">
        <f>'DP-VI'!D11</f>
        <v/>
      </c>
      <c r="C9" s="29">
        <f>'DP-VI'!G11</f>
        <v/>
      </c>
      <c r="D9" s="29">
        <f>ABS(B9-15.5)</f>
        <v/>
      </c>
      <c r="E9" s="29">
        <f>ABS(C9-14.5)</f>
        <v/>
      </c>
      <c r="F9" s="29">
        <f>MAX(ABS(B9-B8),ABS(C9-C8))</f>
        <v/>
      </c>
      <c r="G9" s="29">
        <f>1-MAX(D9,E9)/15.5</f>
        <v/>
      </c>
      <c r="H9" s="9" t="inlineStr"/>
      <c r="I9" s="29">
        <f>'DP-VI'!D66</f>
        <v/>
      </c>
      <c r="J9" s="29">
        <f>'DP-VI'!G66</f>
        <v/>
      </c>
      <c r="K9" s="29">
        <f>ABS(I9-15.5)</f>
        <v/>
      </c>
      <c r="L9" s="29">
        <f>ABS(J9-14.5)</f>
        <v/>
      </c>
      <c r="M9" s="29">
        <f>MAX(ABS(I9-I8),ABS(J9-J8))</f>
        <v/>
      </c>
      <c r="N9" s="29">
        <f>1-MAX(K9,L9)/15.5</f>
        <v/>
      </c>
    </row>
    <row r="10">
      <c r="A10" s="9" t="n">
        <v>4</v>
      </c>
      <c r="B10" s="29">
        <f>'DP-VI'!D12</f>
        <v/>
      </c>
      <c r="C10" s="29">
        <f>'DP-VI'!G12</f>
        <v/>
      </c>
      <c r="D10" s="29">
        <f>ABS(B10-15.5)</f>
        <v/>
      </c>
      <c r="E10" s="29">
        <f>ABS(C10-14.5)</f>
        <v/>
      </c>
      <c r="F10" s="29">
        <f>MAX(ABS(B10-B9),ABS(C10-C9))</f>
        <v/>
      </c>
      <c r="G10" s="29">
        <f>1-MAX(D10,E10)/15.5</f>
        <v/>
      </c>
      <c r="H10" s="9" t="inlineStr"/>
      <c r="I10" s="29">
        <f>'DP-VI'!D67</f>
        <v/>
      </c>
      <c r="J10" s="29">
        <f>'DP-VI'!G67</f>
        <v/>
      </c>
      <c r="K10" s="29">
        <f>ABS(I10-15.5)</f>
        <v/>
      </c>
      <c r="L10" s="29">
        <f>ABS(J10-14.5)</f>
        <v/>
      </c>
      <c r="M10" s="29">
        <f>MAX(ABS(I10-I9),ABS(J10-J9))</f>
        <v/>
      </c>
      <c r="N10" s="29">
        <f>1-MAX(K10,L10)/15.5</f>
        <v/>
      </c>
    </row>
    <row r="11">
      <c r="A11" s="9" t="n">
        <v>5</v>
      </c>
      <c r="B11" s="29">
        <f>'DP-VI'!D13</f>
        <v/>
      </c>
      <c r="C11" s="29">
        <f>'DP-VI'!G13</f>
        <v/>
      </c>
      <c r="D11" s="29">
        <f>ABS(B11-15.5)</f>
        <v/>
      </c>
      <c r="E11" s="29">
        <f>ABS(C11-14.5)</f>
        <v/>
      </c>
      <c r="F11" s="29">
        <f>MAX(ABS(B11-B10),ABS(C11-C10))</f>
        <v/>
      </c>
      <c r="G11" s="29">
        <f>1-MAX(D11,E11)/15.5</f>
        <v/>
      </c>
      <c r="H11" s="9" t="inlineStr"/>
      <c r="I11" s="29">
        <f>'DP-VI'!D68</f>
        <v/>
      </c>
      <c r="J11" s="29">
        <f>'DP-VI'!G68</f>
        <v/>
      </c>
      <c r="K11" s="29">
        <f>ABS(I11-15.5)</f>
        <v/>
      </c>
      <c r="L11" s="29">
        <f>ABS(J11-14.5)</f>
        <v/>
      </c>
      <c r="M11" s="29">
        <f>MAX(ABS(I11-I10),ABS(J11-J10))</f>
        <v/>
      </c>
      <c r="N11" s="29">
        <f>1-MAX(K11,L11)/15.5</f>
        <v/>
      </c>
    </row>
    <row r="12">
      <c r="A12" s="9" t="n">
        <v>6</v>
      </c>
      <c r="B12" s="29">
        <f>'DP-VI'!D14</f>
        <v/>
      </c>
      <c r="C12" s="29">
        <f>'DP-VI'!G14</f>
        <v/>
      </c>
      <c r="D12" s="29">
        <f>ABS(B12-15.5)</f>
        <v/>
      </c>
      <c r="E12" s="29">
        <f>ABS(C12-14.5)</f>
        <v/>
      </c>
      <c r="F12" s="29">
        <f>MAX(ABS(B12-B11),ABS(C12-C11))</f>
        <v/>
      </c>
      <c r="G12" s="29">
        <f>1-MAX(D12,E12)/15.5</f>
        <v/>
      </c>
      <c r="H12" s="9" t="inlineStr"/>
      <c r="I12" s="29">
        <f>'DP-VI'!D69</f>
        <v/>
      </c>
      <c r="J12" s="29">
        <f>'DP-VI'!G69</f>
        <v/>
      </c>
      <c r="K12" s="29">
        <f>ABS(I12-15.5)</f>
        <v/>
      </c>
      <c r="L12" s="29">
        <f>ABS(J12-14.5)</f>
        <v/>
      </c>
      <c r="M12" s="29">
        <f>MAX(ABS(I12-I11),ABS(J12-J11))</f>
        <v/>
      </c>
      <c r="N12" s="29">
        <f>1-MAX(K12,L12)/15.5</f>
        <v/>
      </c>
    </row>
    <row r="13">
      <c r="A13" s="9" t="n">
        <v>7</v>
      </c>
      <c r="B13" s="29">
        <f>'DP-VI'!D15</f>
        <v/>
      </c>
      <c r="C13" s="29">
        <f>'DP-VI'!G15</f>
        <v/>
      </c>
      <c r="D13" s="29">
        <f>ABS(B13-15.5)</f>
        <v/>
      </c>
      <c r="E13" s="29">
        <f>ABS(C13-14.5)</f>
        <v/>
      </c>
      <c r="F13" s="29">
        <f>MAX(ABS(B13-B12),ABS(C13-C12))</f>
        <v/>
      </c>
      <c r="G13" s="29">
        <f>1-MAX(D13,E13)/15.5</f>
        <v/>
      </c>
      <c r="H13" s="9" t="inlineStr"/>
      <c r="I13" s="29">
        <f>'DP-VI'!D70</f>
        <v/>
      </c>
      <c r="J13" s="29">
        <f>'DP-VI'!G70</f>
        <v/>
      </c>
      <c r="K13" s="29">
        <f>ABS(I13-15.5)</f>
        <v/>
      </c>
      <c r="L13" s="29">
        <f>ABS(J13-14.5)</f>
        <v/>
      </c>
      <c r="M13" s="29">
        <f>MAX(ABS(I13-I12),ABS(J13-J12))</f>
        <v/>
      </c>
      <c r="N13" s="29">
        <f>1-MAX(K13,L13)/15.5</f>
        <v/>
      </c>
    </row>
    <row r="14">
      <c r="A14" s="9" t="n">
        <v>8</v>
      </c>
      <c r="B14" s="29">
        <f>'DP-VI'!D16</f>
        <v/>
      </c>
      <c r="C14" s="29">
        <f>'DP-VI'!G16</f>
        <v/>
      </c>
      <c r="D14" s="29">
        <f>ABS(B14-15.5)</f>
        <v/>
      </c>
      <c r="E14" s="29">
        <f>ABS(C14-14.5)</f>
        <v/>
      </c>
      <c r="F14" s="29">
        <f>MAX(ABS(B14-B13),ABS(C14-C13))</f>
        <v/>
      </c>
      <c r="G14" s="29">
        <f>1-MAX(D14,E14)/15.5</f>
        <v/>
      </c>
      <c r="H14" s="9" t="inlineStr"/>
      <c r="I14" s="29">
        <f>'DP-VI'!D71</f>
        <v/>
      </c>
      <c r="J14" s="29">
        <f>'DP-VI'!G71</f>
        <v/>
      </c>
      <c r="K14" s="29">
        <f>ABS(I14-15.5)</f>
        <v/>
      </c>
      <c r="L14" s="29">
        <f>ABS(J14-14.5)</f>
        <v/>
      </c>
      <c r="M14" s="29">
        <f>MAX(ABS(I14-I13),ABS(J14-J13))</f>
        <v/>
      </c>
      <c r="N14" s="29">
        <f>1-MAX(K14,L14)/15.5</f>
        <v/>
      </c>
    </row>
    <row r="15">
      <c r="A15" s="9" t="n">
        <v>9</v>
      </c>
      <c r="B15" s="29">
        <f>'DP-VI'!D17</f>
        <v/>
      </c>
      <c r="C15" s="29">
        <f>'DP-VI'!G17</f>
        <v/>
      </c>
      <c r="D15" s="29">
        <f>ABS(B15-15.5)</f>
        <v/>
      </c>
      <c r="E15" s="29">
        <f>ABS(C15-14.5)</f>
        <v/>
      </c>
      <c r="F15" s="29">
        <f>MAX(ABS(B15-B14),ABS(C15-C14))</f>
        <v/>
      </c>
      <c r="G15" s="29">
        <f>1-MAX(D15,E15)/15.5</f>
        <v/>
      </c>
      <c r="H15" s="9" t="inlineStr"/>
      <c r="I15" s="29">
        <f>'DP-VI'!D72</f>
        <v/>
      </c>
      <c r="J15" s="29">
        <f>'DP-VI'!G72</f>
        <v/>
      </c>
      <c r="K15" s="29">
        <f>ABS(I15-15.5)</f>
        <v/>
      </c>
      <c r="L15" s="29">
        <f>ABS(J15-14.5)</f>
        <v/>
      </c>
      <c r="M15" s="29">
        <f>MAX(ABS(I15-I14),ABS(J15-J14))</f>
        <v/>
      </c>
      <c r="N15" s="29">
        <f>1-MAX(K15,L15)/15.5</f>
        <v/>
      </c>
    </row>
    <row r="16">
      <c r="A16" s="9" t="n">
        <v>10</v>
      </c>
      <c r="B16" s="29">
        <f>'DP-VI'!D18</f>
        <v/>
      </c>
      <c r="C16" s="29">
        <f>'DP-VI'!G18</f>
        <v/>
      </c>
      <c r="D16" s="29">
        <f>ABS(B16-15.5)</f>
        <v/>
      </c>
      <c r="E16" s="29">
        <f>ABS(C16-14.5)</f>
        <v/>
      </c>
      <c r="F16" s="29">
        <f>MAX(ABS(B16-B15),ABS(C16-C15))</f>
        <v/>
      </c>
      <c r="G16" s="29">
        <f>1-MAX(D16,E16)/15.5</f>
        <v/>
      </c>
      <c r="H16" s="9" t="inlineStr"/>
      <c r="I16" s="29">
        <f>'DP-VI'!D73</f>
        <v/>
      </c>
      <c r="J16" s="29">
        <f>'DP-VI'!G73</f>
        <v/>
      </c>
      <c r="K16" s="29">
        <f>ABS(I16-15.5)</f>
        <v/>
      </c>
      <c r="L16" s="29">
        <f>ABS(J16-14.5)</f>
        <v/>
      </c>
      <c r="M16" s="29">
        <f>MAX(ABS(I16-I15),ABS(J16-J15))</f>
        <v/>
      </c>
      <c r="N16" s="29">
        <f>1-MAX(K16,L16)/15.5</f>
        <v/>
      </c>
    </row>
    <row r="17">
      <c r="A17" s="9" t="n">
        <v>11</v>
      </c>
      <c r="B17" s="29">
        <f>'DP-VI'!D19</f>
        <v/>
      </c>
      <c r="C17" s="29">
        <f>'DP-VI'!G19</f>
        <v/>
      </c>
      <c r="D17" s="29">
        <f>ABS(B17-15.5)</f>
        <v/>
      </c>
      <c r="E17" s="29">
        <f>ABS(C17-14.5)</f>
        <v/>
      </c>
      <c r="F17" s="29">
        <f>MAX(ABS(B17-B16),ABS(C17-C16))</f>
        <v/>
      </c>
      <c r="G17" s="29">
        <f>1-MAX(D17,E17)/15.5</f>
        <v/>
      </c>
      <c r="H17" s="9" t="inlineStr"/>
      <c r="I17" s="29">
        <f>'DP-VI'!D74</f>
        <v/>
      </c>
      <c r="J17" s="29">
        <f>'DP-VI'!G74</f>
        <v/>
      </c>
      <c r="K17" s="29">
        <f>ABS(I17-15.5)</f>
        <v/>
      </c>
      <c r="L17" s="29">
        <f>ABS(J17-14.5)</f>
        <v/>
      </c>
      <c r="M17" s="29">
        <f>MAX(ABS(I17-I16),ABS(J17-J16))</f>
        <v/>
      </c>
      <c r="N17" s="29">
        <f>1-MAX(K17,L17)/15.5</f>
        <v/>
      </c>
    </row>
    <row r="18">
      <c r="A18" s="9" t="n">
        <v>12</v>
      </c>
      <c r="B18" s="29">
        <f>'DP-VI'!D20</f>
        <v/>
      </c>
      <c r="C18" s="29">
        <f>'DP-VI'!G20</f>
        <v/>
      </c>
      <c r="D18" s="29">
        <f>ABS(B18-15.5)</f>
        <v/>
      </c>
      <c r="E18" s="29">
        <f>ABS(C18-14.5)</f>
        <v/>
      </c>
      <c r="F18" s="29">
        <f>MAX(ABS(B18-B17),ABS(C18-C17))</f>
        <v/>
      </c>
      <c r="G18" s="29">
        <f>1-MAX(D18,E18)/15.5</f>
        <v/>
      </c>
      <c r="H18" s="9" t="inlineStr"/>
      <c r="I18" s="29">
        <f>'DP-VI'!D75</f>
        <v/>
      </c>
      <c r="J18" s="29">
        <f>'DP-VI'!G75</f>
        <v/>
      </c>
      <c r="K18" s="29">
        <f>ABS(I18-15.5)</f>
        <v/>
      </c>
      <c r="L18" s="29">
        <f>ABS(J18-14.5)</f>
        <v/>
      </c>
      <c r="M18" s="29">
        <f>MAX(ABS(I18-I17),ABS(J18-J17))</f>
        <v/>
      </c>
      <c r="N18" s="29">
        <f>1-MAX(K18,L18)/15.5</f>
        <v/>
      </c>
    </row>
    <row r="19">
      <c r="A19" s="9" t="n">
        <v>13</v>
      </c>
      <c r="B19" s="29">
        <f>'DP-VI'!D21</f>
        <v/>
      </c>
      <c r="C19" s="29">
        <f>'DP-VI'!G21</f>
        <v/>
      </c>
      <c r="D19" s="29">
        <f>ABS(B19-15.5)</f>
        <v/>
      </c>
      <c r="E19" s="29">
        <f>ABS(C19-14.5)</f>
        <v/>
      </c>
      <c r="F19" s="29">
        <f>MAX(ABS(B19-B18),ABS(C19-C18))</f>
        <v/>
      </c>
      <c r="G19" s="29">
        <f>1-MAX(D19,E19)/15.5</f>
        <v/>
      </c>
      <c r="H19" s="9" t="inlineStr"/>
      <c r="I19" s="29">
        <f>'DP-VI'!D76</f>
        <v/>
      </c>
      <c r="J19" s="29">
        <f>'DP-VI'!G76</f>
        <v/>
      </c>
      <c r="K19" s="29">
        <f>ABS(I19-15.5)</f>
        <v/>
      </c>
      <c r="L19" s="29">
        <f>ABS(J19-14.5)</f>
        <v/>
      </c>
      <c r="M19" s="29">
        <f>MAX(ABS(I19-I18),ABS(J19-J18))</f>
        <v/>
      </c>
      <c r="N19" s="29">
        <f>1-MAX(K19,L19)/15.5</f>
        <v/>
      </c>
    </row>
    <row r="20">
      <c r="A20" s="9" t="n">
        <v>14</v>
      </c>
      <c r="B20" s="29">
        <f>'DP-VI'!D22</f>
        <v/>
      </c>
      <c r="C20" s="29">
        <f>'DP-VI'!G22</f>
        <v/>
      </c>
      <c r="D20" s="29">
        <f>ABS(B20-15.5)</f>
        <v/>
      </c>
      <c r="E20" s="29">
        <f>ABS(C20-14.5)</f>
        <v/>
      </c>
      <c r="F20" s="29">
        <f>MAX(ABS(B20-B19),ABS(C20-C19))</f>
        <v/>
      </c>
      <c r="G20" s="29">
        <f>1-MAX(D20,E20)/15.5</f>
        <v/>
      </c>
      <c r="H20" s="9" t="inlineStr"/>
      <c r="I20" s="29">
        <f>'DP-VI'!D77</f>
        <v/>
      </c>
      <c r="J20" s="29">
        <f>'DP-VI'!G77</f>
        <v/>
      </c>
      <c r="K20" s="29">
        <f>ABS(I20-15.5)</f>
        <v/>
      </c>
      <c r="L20" s="29">
        <f>ABS(J20-14.5)</f>
        <v/>
      </c>
      <c r="M20" s="29">
        <f>MAX(ABS(I20-I19),ABS(J20-J19))</f>
        <v/>
      </c>
      <c r="N20" s="29">
        <f>1-MAX(K20,L20)/15.5</f>
        <v/>
      </c>
    </row>
    <row r="21">
      <c r="A21" s="9" t="n">
        <v>15</v>
      </c>
      <c r="B21" s="29">
        <f>'DP-VI'!D23</f>
        <v/>
      </c>
      <c r="C21" s="29">
        <f>'DP-VI'!G23</f>
        <v/>
      </c>
      <c r="D21" s="29">
        <f>ABS(B21-15.5)</f>
        <v/>
      </c>
      <c r="E21" s="29">
        <f>ABS(C21-14.5)</f>
        <v/>
      </c>
      <c r="F21" s="29">
        <f>MAX(ABS(B21-B20),ABS(C21-C20))</f>
        <v/>
      </c>
      <c r="G21" s="29">
        <f>1-MAX(D21,E21)/15.5</f>
        <v/>
      </c>
      <c r="H21" s="9" t="inlineStr"/>
      <c r="I21" s="29">
        <f>'DP-VI'!D78</f>
        <v/>
      </c>
      <c r="J21" s="29">
        <f>'DP-VI'!G78</f>
        <v/>
      </c>
      <c r="K21" s="29">
        <f>ABS(I21-15.5)</f>
        <v/>
      </c>
      <c r="L21" s="29">
        <f>ABS(J21-14.5)</f>
        <v/>
      </c>
      <c r="M21" s="29">
        <f>MAX(ABS(I21-I20),ABS(J21-J20))</f>
        <v/>
      </c>
      <c r="N21" s="29">
        <f>1-MAX(K21,L21)/15.5</f>
        <v/>
      </c>
    </row>
    <row r="22">
      <c r="A22" s="9" t="n">
        <v>16</v>
      </c>
      <c r="B22" s="29">
        <f>'DP-VI'!D24</f>
        <v/>
      </c>
      <c r="C22" s="29">
        <f>'DP-VI'!G24</f>
        <v/>
      </c>
      <c r="D22" s="29">
        <f>ABS(B22-15.5)</f>
        <v/>
      </c>
      <c r="E22" s="29">
        <f>ABS(C22-14.5)</f>
        <v/>
      </c>
      <c r="F22" s="29">
        <f>MAX(ABS(B22-B21),ABS(C22-C21))</f>
        <v/>
      </c>
      <c r="G22" s="29">
        <f>1-MAX(D22,E22)/15.5</f>
        <v/>
      </c>
      <c r="H22" s="9" t="inlineStr"/>
      <c r="I22" s="29">
        <f>'DP-VI'!D79</f>
        <v/>
      </c>
      <c r="J22" s="29">
        <f>'DP-VI'!G79</f>
        <v/>
      </c>
      <c r="K22" s="29">
        <f>ABS(I22-15.5)</f>
        <v/>
      </c>
      <c r="L22" s="29">
        <f>ABS(J22-14.5)</f>
        <v/>
      </c>
      <c r="M22" s="29">
        <f>MAX(ABS(I22-I21),ABS(J22-J21))</f>
        <v/>
      </c>
      <c r="N22" s="29">
        <f>1-MAX(K22,L22)/15.5</f>
        <v/>
      </c>
    </row>
    <row r="23">
      <c r="A23" s="9" t="n">
        <v>17</v>
      </c>
      <c r="B23" s="29">
        <f>'DP-VI'!D25</f>
        <v/>
      </c>
      <c r="C23" s="29">
        <f>'DP-VI'!G25</f>
        <v/>
      </c>
      <c r="D23" s="29">
        <f>ABS(B23-15.5)</f>
        <v/>
      </c>
      <c r="E23" s="29">
        <f>ABS(C23-14.5)</f>
        <v/>
      </c>
      <c r="F23" s="29">
        <f>MAX(ABS(B23-B22),ABS(C23-C22))</f>
        <v/>
      </c>
      <c r="G23" s="29">
        <f>1-MAX(D23,E23)/15.5</f>
        <v/>
      </c>
      <c r="H23" s="9" t="inlineStr"/>
      <c r="I23" s="29">
        <f>'DP-VI'!D80</f>
        <v/>
      </c>
      <c r="J23" s="29">
        <f>'DP-VI'!G80</f>
        <v/>
      </c>
      <c r="K23" s="29">
        <f>ABS(I23-15.5)</f>
        <v/>
      </c>
      <c r="L23" s="29">
        <f>ABS(J23-14.5)</f>
        <v/>
      </c>
      <c r="M23" s="29">
        <f>MAX(ABS(I23-I22),ABS(J23-J22))</f>
        <v/>
      </c>
      <c r="N23" s="29">
        <f>1-MAX(K23,L23)/15.5</f>
        <v/>
      </c>
    </row>
    <row r="24">
      <c r="A24" s="9" t="n">
        <v>18</v>
      </c>
      <c r="B24" s="29">
        <f>'DP-VI'!D26</f>
        <v/>
      </c>
      <c r="C24" s="29">
        <f>'DP-VI'!G26</f>
        <v/>
      </c>
      <c r="D24" s="29">
        <f>ABS(B24-15.5)</f>
        <v/>
      </c>
      <c r="E24" s="29">
        <f>ABS(C24-14.5)</f>
        <v/>
      </c>
      <c r="F24" s="29">
        <f>MAX(ABS(B24-B23),ABS(C24-C23))</f>
        <v/>
      </c>
      <c r="G24" s="29">
        <f>1-MAX(D24,E24)/15.5</f>
        <v/>
      </c>
      <c r="H24" s="9" t="inlineStr"/>
      <c r="I24" s="29">
        <f>'DP-VI'!D81</f>
        <v/>
      </c>
      <c r="J24" s="29">
        <f>'DP-VI'!G81</f>
        <v/>
      </c>
      <c r="K24" s="29">
        <f>ABS(I24-15.5)</f>
        <v/>
      </c>
      <c r="L24" s="29">
        <f>ABS(J24-14.5)</f>
        <v/>
      </c>
      <c r="M24" s="29">
        <f>MAX(ABS(I24-I23),ABS(J24-J23))</f>
        <v/>
      </c>
      <c r="N24" s="29">
        <f>1-MAX(K24,L24)/15.5</f>
        <v/>
      </c>
    </row>
    <row r="25">
      <c r="A25" s="9" t="n">
        <v>19</v>
      </c>
      <c r="B25" s="29">
        <f>'DP-VI'!D27</f>
        <v/>
      </c>
      <c r="C25" s="29">
        <f>'DP-VI'!G27</f>
        <v/>
      </c>
      <c r="D25" s="29">
        <f>ABS(B25-15.5)</f>
        <v/>
      </c>
      <c r="E25" s="29">
        <f>ABS(C25-14.5)</f>
        <v/>
      </c>
      <c r="F25" s="29">
        <f>MAX(ABS(B25-B24),ABS(C25-C24))</f>
        <v/>
      </c>
      <c r="G25" s="29">
        <f>1-MAX(D25,E25)/15.5</f>
        <v/>
      </c>
      <c r="H25" s="9" t="inlineStr"/>
      <c r="I25" s="29">
        <f>'DP-VI'!D82</f>
        <v/>
      </c>
      <c r="J25" s="29">
        <f>'DP-VI'!G82</f>
        <v/>
      </c>
      <c r="K25" s="29">
        <f>ABS(I25-15.5)</f>
        <v/>
      </c>
      <c r="L25" s="29">
        <f>ABS(J25-14.5)</f>
        <v/>
      </c>
      <c r="M25" s="29">
        <f>MAX(ABS(I25-I24),ABS(J25-J24))</f>
        <v/>
      </c>
      <c r="N25" s="29">
        <f>1-MAX(K25,L25)/15.5</f>
        <v/>
      </c>
    </row>
    <row r="26">
      <c r="A26" s="9" t="n">
        <v>20</v>
      </c>
      <c r="B26" s="29">
        <f>'DP-VI'!D28</f>
        <v/>
      </c>
      <c r="C26" s="29">
        <f>'DP-VI'!G28</f>
        <v/>
      </c>
      <c r="D26" s="29">
        <f>ABS(B26-15.5)</f>
        <v/>
      </c>
      <c r="E26" s="29">
        <f>ABS(C26-14.5)</f>
        <v/>
      </c>
      <c r="F26" s="29">
        <f>MAX(ABS(B26-B25),ABS(C26-C25))</f>
        <v/>
      </c>
      <c r="G26" s="29">
        <f>1-MAX(D26,E26)/15.5</f>
        <v/>
      </c>
      <c r="H26" s="9" t="inlineStr"/>
      <c r="I26" s="29">
        <f>'DP-VI'!D83</f>
        <v/>
      </c>
      <c r="J26" s="29">
        <f>'DP-VI'!G83</f>
        <v/>
      </c>
      <c r="K26" s="29">
        <f>ABS(I26-15.5)</f>
        <v/>
      </c>
      <c r="L26" s="29">
        <f>ABS(J26-14.5)</f>
        <v/>
      </c>
      <c r="M26" s="29">
        <f>MAX(ABS(I26-I25),ABS(J26-J25))</f>
        <v/>
      </c>
      <c r="N26" s="29">
        <f>1-MAX(K26,L26)/15.5</f>
        <v/>
      </c>
    </row>
    <row r="27">
      <c r="A27" s="9" t="n">
        <v>21</v>
      </c>
      <c r="B27" s="29">
        <f>'DP-VI'!D29</f>
        <v/>
      </c>
      <c r="C27" s="29">
        <f>'DP-VI'!G29</f>
        <v/>
      </c>
      <c r="D27" s="29">
        <f>ABS(B27-15.5)</f>
        <v/>
      </c>
      <c r="E27" s="29">
        <f>ABS(C27-14.5)</f>
        <v/>
      </c>
      <c r="F27" s="29">
        <f>MAX(ABS(B27-B26),ABS(C27-C26))</f>
        <v/>
      </c>
      <c r="G27" s="29">
        <f>1-MAX(D27,E27)/15.5</f>
        <v/>
      </c>
      <c r="H27" s="9" t="inlineStr"/>
      <c r="I27" s="29">
        <f>'DP-VI'!D84</f>
        <v/>
      </c>
      <c r="J27" s="29">
        <f>'DP-VI'!G84</f>
        <v/>
      </c>
      <c r="K27" s="29">
        <f>ABS(I27-15.5)</f>
        <v/>
      </c>
      <c r="L27" s="29">
        <f>ABS(J27-14.5)</f>
        <v/>
      </c>
      <c r="M27" s="29">
        <f>MAX(ABS(I27-I26),ABS(J27-J26))</f>
        <v/>
      </c>
      <c r="N27" s="29">
        <f>1-MAX(K27,L27)/15.5</f>
        <v/>
      </c>
    </row>
    <row r="28">
      <c r="A28" s="9" t="n">
        <v>22</v>
      </c>
      <c r="B28" s="29">
        <f>'DP-VI'!D30</f>
        <v/>
      </c>
      <c r="C28" s="29">
        <f>'DP-VI'!G30</f>
        <v/>
      </c>
      <c r="D28" s="29">
        <f>ABS(B28-15.5)</f>
        <v/>
      </c>
      <c r="E28" s="29">
        <f>ABS(C28-14.5)</f>
        <v/>
      </c>
      <c r="F28" s="29">
        <f>MAX(ABS(B28-B27),ABS(C28-C27))</f>
        <v/>
      </c>
      <c r="G28" s="29">
        <f>1-MAX(D28,E28)/15.5</f>
        <v/>
      </c>
      <c r="H28" s="9" t="inlineStr"/>
      <c r="I28" s="29">
        <f>'DP-VI'!D85</f>
        <v/>
      </c>
      <c r="J28" s="29">
        <f>'DP-VI'!G85</f>
        <v/>
      </c>
      <c r="K28" s="29">
        <f>ABS(I28-15.5)</f>
        <v/>
      </c>
      <c r="L28" s="29">
        <f>ABS(J28-14.5)</f>
        <v/>
      </c>
      <c r="M28" s="29">
        <f>MAX(ABS(I28-I27),ABS(J28-J27))</f>
        <v/>
      </c>
      <c r="N28" s="29">
        <f>1-MAX(K28,L28)/15.5</f>
        <v/>
      </c>
    </row>
    <row r="29">
      <c r="A29" s="9" t="n">
        <v>23</v>
      </c>
      <c r="B29" s="29">
        <f>'DP-VI'!D31</f>
        <v/>
      </c>
      <c r="C29" s="29">
        <f>'DP-VI'!G31</f>
        <v/>
      </c>
      <c r="D29" s="29">
        <f>ABS(B29-15.5)</f>
        <v/>
      </c>
      <c r="E29" s="29">
        <f>ABS(C29-14.5)</f>
        <v/>
      </c>
      <c r="F29" s="29">
        <f>MAX(ABS(B29-B28),ABS(C29-C28))</f>
        <v/>
      </c>
      <c r="G29" s="29">
        <f>1-MAX(D29,E29)/15.5</f>
        <v/>
      </c>
      <c r="H29" s="9" t="inlineStr"/>
      <c r="I29" s="29">
        <f>'DP-VI'!D86</f>
        <v/>
      </c>
      <c r="J29" s="29">
        <f>'DP-VI'!G86</f>
        <v/>
      </c>
      <c r="K29" s="29">
        <f>ABS(I29-15.5)</f>
        <v/>
      </c>
      <c r="L29" s="29">
        <f>ABS(J29-14.5)</f>
        <v/>
      </c>
      <c r="M29" s="29">
        <f>MAX(ABS(I29-I28),ABS(J29-J28))</f>
        <v/>
      </c>
      <c r="N29" s="29">
        <f>1-MAX(K29,L29)/15.5</f>
        <v/>
      </c>
    </row>
    <row r="30">
      <c r="A30" s="9" t="n">
        <v>24</v>
      </c>
      <c r="B30" s="29">
        <f>'DP-VI'!D32</f>
        <v/>
      </c>
      <c r="C30" s="29">
        <f>'DP-VI'!G32</f>
        <v/>
      </c>
      <c r="D30" s="29">
        <f>ABS(B30-15.5)</f>
        <v/>
      </c>
      <c r="E30" s="29">
        <f>ABS(C30-14.5)</f>
        <v/>
      </c>
      <c r="F30" s="29">
        <f>MAX(ABS(B30-B29),ABS(C30-C29))</f>
        <v/>
      </c>
      <c r="G30" s="29">
        <f>1-MAX(D30,E30)/15.5</f>
        <v/>
      </c>
      <c r="H30" s="9" t="inlineStr"/>
      <c r="I30" s="29">
        <f>'DP-VI'!D87</f>
        <v/>
      </c>
      <c r="J30" s="29">
        <f>'DP-VI'!G87</f>
        <v/>
      </c>
      <c r="K30" s="29">
        <f>ABS(I30-15.5)</f>
        <v/>
      </c>
      <c r="L30" s="29">
        <f>ABS(J30-14.5)</f>
        <v/>
      </c>
      <c r="M30" s="29">
        <f>MAX(ABS(I30-I29),ABS(J30-J29))</f>
        <v/>
      </c>
      <c r="N30" s="29">
        <f>1-MAX(K30,L30)/15.5</f>
        <v/>
      </c>
    </row>
    <row r="31">
      <c r="A31" s="9" t="n">
        <v>25</v>
      </c>
      <c r="B31" s="29">
        <f>'DP-VI'!D33</f>
        <v/>
      </c>
      <c r="C31" s="29">
        <f>'DP-VI'!G33</f>
        <v/>
      </c>
      <c r="D31" s="29">
        <f>ABS(B31-15.5)</f>
        <v/>
      </c>
      <c r="E31" s="29">
        <f>ABS(C31-14.5)</f>
        <v/>
      </c>
      <c r="F31" s="29">
        <f>MAX(ABS(B31-B30),ABS(C31-C30))</f>
        <v/>
      </c>
      <c r="G31" s="29">
        <f>1-MAX(D31,E31)/15.5</f>
        <v/>
      </c>
      <c r="H31" s="9" t="inlineStr"/>
      <c r="I31" s="29">
        <f>'DP-VI'!D88</f>
        <v/>
      </c>
      <c r="J31" s="29">
        <f>'DP-VI'!G88</f>
        <v/>
      </c>
      <c r="K31" s="29">
        <f>ABS(I31-15.5)</f>
        <v/>
      </c>
      <c r="L31" s="29">
        <f>ABS(J31-14.5)</f>
        <v/>
      </c>
      <c r="M31" s="29">
        <f>MAX(ABS(I31-I30),ABS(J31-J30))</f>
        <v/>
      </c>
      <c r="N31" s="29">
        <f>1-MAX(K31,L31)/15.5</f>
        <v/>
      </c>
    </row>
    <row r="32">
      <c r="A32" s="9" t="n">
        <v>26</v>
      </c>
      <c r="B32" s="29">
        <f>'DP-VI'!D34</f>
        <v/>
      </c>
      <c r="C32" s="29">
        <f>'DP-VI'!G34</f>
        <v/>
      </c>
      <c r="D32" s="29">
        <f>ABS(B32-15.5)</f>
        <v/>
      </c>
      <c r="E32" s="29">
        <f>ABS(C32-14.5)</f>
        <v/>
      </c>
      <c r="F32" s="29">
        <f>MAX(ABS(B32-B31),ABS(C32-C31))</f>
        <v/>
      </c>
      <c r="G32" s="29">
        <f>1-MAX(D32,E32)/15.5</f>
        <v/>
      </c>
      <c r="H32" s="9" t="inlineStr"/>
      <c r="I32" s="29">
        <f>'DP-VI'!D89</f>
        <v/>
      </c>
      <c r="J32" s="29">
        <f>'DP-VI'!G89</f>
        <v/>
      </c>
      <c r="K32" s="29">
        <f>ABS(I32-15.5)</f>
        <v/>
      </c>
      <c r="L32" s="29">
        <f>ABS(J32-14.5)</f>
        <v/>
      </c>
      <c r="M32" s="29">
        <f>MAX(ABS(I32-I31),ABS(J32-J31))</f>
        <v/>
      </c>
      <c r="N32" s="29">
        <f>1-MAX(K32,L32)/15.5</f>
        <v/>
      </c>
    </row>
    <row r="33">
      <c r="A33" s="9" t="n">
        <v>27</v>
      </c>
      <c r="B33" s="29">
        <f>'DP-VI'!D35</f>
        <v/>
      </c>
      <c r="C33" s="29">
        <f>'DP-VI'!G35</f>
        <v/>
      </c>
      <c r="D33" s="29">
        <f>ABS(B33-15.5)</f>
        <v/>
      </c>
      <c r="E33" s="29">
        <f>ABS(C33-14.5)</f>
        <v/>
      </c>
      <c r="F33" s="29">
        <f>MAX(ABS(B33-B32),ABS(C33-C32))</f>
        <v/>
      </c>
      <c r="G33" s="29">
        <f>1-MAX(D33,E33)/15.5</f>
        <v/>
      </c>
      <c r="H33" s="9" t="inlineStr"/>
      <c r="I33" s="29">
        <f>'DP-VI'!D90</f>
        <v/>
      </c>
      <c r="J33" s="29">
        <f>'DP-VI'!G90</f>
        <v/>
      </c>
      <c r="K33" s="29">
        <f>ABS(I33-15.5)</f>
        <v/>
      </c>
      <c r="L33" s="29">
        <f>ABS(J33-14.5)</f>
        <v/>
      </c>
      <c r="M33" s="29">
        <f>MAX(ABS(I33-I32),ABS(J33-J32))</f>
        <v/>
      </c>
      <c r="N33" s="29">
        <f>1-MAX(K33,L33)/15.5</f>
        <v/>
      </c>
    </row>
    <row r="34">
      <c r="A34" s="9" t="n">
        <v>28</v>
      </c>
      <c r="B34" s="29">
        <f>'DP-VI'!D36</f>
        <v/>
      </c>
      <c r="C34" s="29">
        <f>'DP-VI'!G36</f>
        <v/>
      </c>
      <c r="D34" s="29">
        <f>ABS(B34-15.5)</f>
        <v/>
      </c>
      <c r="E34" s="29">
        <f>ABS(C34-14.5)</f>
        <v/>
      </c>
      <c r="F34" s="29">
        <f>MAX(ABS(B34-B33),ABS(C34-C33))</f>
        <v/>
      </c>
      <c r="G34" s="29">
        <f>1-MAX(D34,E34)/15.5</f>
        <v/>
      </c>
      <c r="H34" s="9" t="inlineStr"/>
      <c r="I34" s="29">
        <f>'DP-VI'!D91</f>
        <v/>
      </c>
      <c r="J34" s="29">
        <f>'DP-VI'!G91</f>
        <v/>
      </c>
      <c r="K34" s="29">
        <f>ABS(I34-15.5)</f>
        <v/>
      </c>
      <c r="L34" s="29">
        <f>ABS(J34-14.5)</f>
        <v/>
      </c>
      <c r="M34" s="29">
        <f>MAX(ABS(I34-I33),ABS(J34-J33))</f>
        <v/>
      </c>
      <c r="N34" s="29">
        <f>1-MAX(K34,L34)/15.5</f>
        <v/>
      </c>
    </row>
    <row r="35">
      <c r="A35" s="9" t="n">
        <v>29</v>
      </c>
      <c r="B35" s="29">
        <f>'DP-VI'!D37</f>
        <v/>
      </c>
      <c r="C35" s="29">
        <f>'DP-VI'!G37</f>
        <v/>
      </c>
      <c r="D35" s="29">
        <f>ABS(B35-15.5)</f>
        <v/>
      </c>
      <c r="E35" s="29">
        <f>ABS(C35-14.5)</f>
        <v/>
      </c>
      <c r="F35" s="29">
        <f>MAX(ABS(B35-B34),ABS(C35-C34))</f>
        <v/>
      </c>
      <c r="G35" s="29">
        <f>1-MAX(D35,E35)/15.5</f>
        <v/>
      </c>
      <c r="H35" s="9" t="inlineStr"/>
      <c r="I35" s="29">
        <f>'DP-VI'!D92</f>
        <v/>
      </c>
      <c r="J35" s="29">
        <f>'DP-VI'!G92</f>
        <v/>
      </c>
      <c r="K35" s="29">
        <f>ABS(I35-15.5)</f>
        <v/>
      </c>
      <c r="L35" s="29">
        <f>ABS(J35-14.5)</f>
        <v/>
      </c>
      <c r="M35" s="29">
        <f>MAX(ABS(I35-I34),ABS(J35-J34))</f>
        <v/>
      </c>
      <c r="N35" s="29">
        <f>1-MAX(K35,L35)/15.5</f>
        <v/>
      </c>
    </row>
    <row r="36">
      <c r="A36" s="9" t="n">
        <v>30</v>
      </c>
      <c r="B36" s="29">
        <f>'DP-VI'!D38</f>
        <v/>
      </c>
      <c r="C36" s="29">
        <f>'DP-VI'!G38</f>
        <v/>
      </c>
      <c r="D36" s="29">
        <f>ABS(B36-15.5)</f>
        <v/>
      </c>
      <c r="E36" s="29">
        <f>ABS(C36-14.5)</f>
        <v/>
      </c>
      <c r="F36" s="29">
        <f>MAX(ABS(B36-B35),ABS(C36-C35))</f>
        <v/>
      </c>
      <c r="G36" s="29">
        <f>1-MAX(D36,E36)/15.5</f>
        <v/>
      </c>
      <c r="H36" s="9" t="inlineStr"/>
      <c r="I36" s="29">
        <f>'DP-VI'!D93</f>
        <v/>
      </c>
      <c r="J36" s="29">
        <f>'DP-VI'!G93</f>
        <v/>
      </c>
      <c r="K36" s="29">
        <f>ABS(I36-15.5)</f>
        <v/>
      </c>
      <c r="L36" s="29">
        <f>ABS(J36-14.5)</f>
        <v/>
      </c>
      <c r="M36" s="29">
        <f>MAX(ABS(I36-I35),ABS(J36-J35))</f>
        <v/>
      </c>
      <c r="N36" s="29">
        <f>1-MAX(K36,L36)/15.5</f>
        <v/>
      </c>
    </row>
    <row r="37">
      <c r="A37" s="9" t="n">
        <v>31</v>
      </c>
      <c r="B37" s="29">
        <f>'DP-VI'!D39</f>
        <v/>
      </c>
      <c r="C37" s="29">
        <f>'DP-VI'!G39</f>
        <v/>
      </c>
      <c r="D37" s="29">
        <f>ABS(B37-15.5)</f>
        <v/>
      </c>
      <c r="E37" s="29">
        <f>ABS(C37-14.5)</f>
        <v/>
      </c>
      <c r="F37" s="29">
        <f>MAX(ABS(B37-B36),ABS(C37-C36))</f>
        <v/>
      </c>
      <c r="G37" s="29">
        <f>1-MAX(D37,E37)/15.5</f>
        <v/>
      </c>
      <c r="H37" s="9" t="inlineStr"/>
      <c r="I37" s="29">
        <f>'DP-VI'!D94</f>
        <v/>
      </c>
      <c r="J37" s="29">
        <f>'DP-VI'!G94</f>
        <v/>
      </c>
      <c r="K37" s="29">
        <f>ABS(I37-15.5)</f>
        <v/>
      </c>
      <c r="L37" s="29">
        <f>ABS(J37-14.5)</f>
        <v/>
      </c>
      <c r="M37" s="29">
        <f>MAX(ABS(I37-I36),ABS(J37-J36))</f>
        <v/>
      </c>
      <c r="N37" s="29">
        <f>1-MAX(K37,L37)/15.5</f>
        <v/>
      </c>
    </row>
    <row r="38">
      <c r="A38" s="9" t="n">
        <v>32</v>
      </c>
      <c r="B38" s="29">
        <f>'DP-VI'!D40</f>
        <v/>
      </c>
      <c r="C38" s="29">
        <f>'DP-VI'!G40</f>
        <v/>
      </c>
      <c r="D38" s="29">
        <f>ABS(B38-15.5)</f>
        <v/>
      </c>
      <c r="E38" s="29">
        <f>ABS(C38-14.5)</f>
        <v/>
      </c>
      <c r="F38" s="29">
        <f>MAX(ABS(B38-B37),ABS(C38-C37))</f>
        <v/>
      </c>
      <c r="G38" s="29">
        <f>1-MAX(D38,E38)/15.5</f>
        <v/>
      </c>
      <c r="H38" s="9" t="inlineStr"/>
      <c r="I38" s="29">
        <f>'DP-VI'!D95</f>
        <v/>
      </c>
      <c r="J38" s="29">
        <f>'DP-VI'!G95</f>
        <v/>
      </c>
      <c r="K38" s="29">
        <f>ABS(I38-15.5)</f>
        <v/>
      </c>
      <c r="L38" s="29">
        <f>ABS(J38-14.5)</f>
        <v/>
      </c>
      <c r="M38" s="29">
        <f>MAX(ABS(I38-I37),ABS(J38-J37))</f>
        <v/>
      </c>
      <c r="N38" s="29">
        <f>1-MAX(K38,L38)/15.5</f>
        <v/>
      </c>
    </row>
    <row r="39">
      <c r="A39" s="9" t="n">
        <v>33</v>
      </c>
      <c r="B39" s="29">
        <f>'DP-VI'!D41</f>
        <v/>
      </c>
      <c r="C39" s="29">
        <f>'DP-VI'!G41</f>
        <v/>
      </c>
      <c r="D39" s="29">
        <f>ABS(B39-15.5)</f>
        <v/>
      </c>
      <c r="E39" s="29">
        <f>ABS(C39-14.5)</f>
        <v/>
      </c>
      <c r="F39" s="29">
        <f>MAX(ABS(B39-B38),ABS(C39-C38))</f>
        <v/>
      </c>
      <c r="G39" s="29">
        <f>1-MAX(D39,E39)/15.5</f>
        <v/>
      </c>
      <c r="H39" s="9" t="inlineStr"/>
      <c r="I39" s="29">
        <f>'DP-VI'!D96</f>
        <v/>
      </c>
      <c r="J39" s="29">
        <f>'DP-VI'!G96</f>
        <v/>
      </c>
      <c r="K39" s="29">
        <f>ABS(I39-15.5)</f>
        <v/>
      </c>
      <c r="L39" s="29">
        <f>ABS(J39-14.5)</f>
        <v/>
      </c>
      <c r="M39" s="29">
        <f>MAX(ABS(I39-I38),ABS(J39-J38))</f>
        <v/>
      </c>
      <c r="N39" s="29">
        <f>1-MAX(K39,L39)/15.5</f>
        <v/>
      </c>
    </row>
    <row r="40">
      <c r="A40" s="9" t="n">
        <v>34</v>
      </c>
      <c r="B40" s="29">
        <f>'DP-VI'!D42</f>
        <v/>
      </c>
      <c r="C40" s="29">
        <f>'DP-VI'!G42</f>
        <v/>
      </c>
      <c r="D40" s="29">
        <f>ABS(B40-15.5)</f>
        <v/>
      </c>
      <c r="E40" s="29">
        <f>ABS(C40-14.5)</f>
        <v/>
      </c>
      <c r="F40" s="29">
        <f>MAX(ABS(B40-B39),ABS(C40-C39))</f>
        <v/>
      </c>
      <c r="G40" s="29">
        <f>1-MAX(D40,E40)/15.5</f>
        <v/>
      </c>
      <c r="H40" s="9" t="inlineStr"/>
      <c r="I40" s="29">
        <f>'DP-VI'!D97</f>
        <v/>
      </c>
      <c r="J40" s="29">
        <f>'DP-VI'!G97</f>
        <v/>
      </c>
      <c r="K40" s="29">
        <f>ABS(I40-15.5)</f>
        <v/>
      </c>
      <c r="L40" s="29">
        <f>ABS(J40-14.5)</f>
        <v/>
      </c>
      <c r="M40" s="29">
        <f>MAX(ABS(I40-I39),ABS(J40-J39))</f>
        <v/>
      </c>
      <c r="N40" s="29">
        <f>1-MAX(K40,L40)/15.5</f>
        <v/>
      </c>
    </row>
    <row r="41">
      <c r="A41" s="9" t="n">
        <v>35</v>
      </c>
      <c r="B41" s="29">
        <f>'DP-VI'!D43</f>
        <v/>
      </c>
      <c r="C41" s="29">
        <f>'DP-VI'!G43</f>
        <v/>
      </c>
      <c r="D41" s="29">
        <f>ABS(B41-15.5)</f>
        <v/>
      </c>
      <c r="E41" s="29">
        <f>ABS(C41-14.5)</f>
        <v/>
      </c>
      <c r="F41" s="29">
        <f>MAX(ABS(B41-B40),ABS(C41-C40))</f>
        <v/>
      </c>
      <c r="G41" s="29">
        <f>1-MAX(D41,E41)/15.5</f>
        <v/>
      </c>
      <c r="H41" s="9" t="inlineStr"/>
      <c r="I41" s="29">
        <f>'DP-VI'!D98</f>
        <v/>
      </c>
      <c r="J41" s="29">
        <f>'DP-VI'!G98</f>
        <v/>
      </c>
      <c r="K41" s="29">
        <f>ABS(I41-15.5)</f>
        <v/>
      </c>
      <c r="L41" s="29">
        <f>ABS(J41-14.5)</f>
        <v/>
      </c>
      <c r="M41" s="29">
        <f>MAX(ABS(I41-I40),ABS(J41-J40))</f>
        <v/>
      </c>
      <c r="N41" s="29">
        <f>1-MAX(K41,L41)/15.5</f>
        <v/>
      </c>
    </row>
    <row r="42">
      <c r="A42" s="9" t="n">
        <v>36</v>
      </c>
      <c r="B42" s="29">
        <f>'DP-VI'!D44</f>
        <v/>
      </c>
      <c r="C42" s="29">
        <f>'DP-VI'!G44</f>
        <v/>
      </c>
      <c r="D42" s="29">
        <f>ABS(B42-15.5)</f>
        <v/>
      </c>
      <c r="E42" s="29">
        <f>ABS(C42-14.5)</f>
        <v/>
      </c>
      <c r="F42" s="29">
        <f>MAX(ABS(B42-B41),ABS(C42-C41))</f>
        <v/>
      </c>
      <c r="G42" s="29">
        <f>1-MAX(D42,E42)/15.5</f>
        <v/>
      </c>
      <c r="H42" s="9" t="inlineStr"/>
      <c r="I42" s="29">
        <f>'DP-VI'!D99</f>
        <v/>
      </c>
      <c r="J42" s="29">
        <f>'DP-VI'!G99</f>
        <v/>
      </c>
      <c r="K42" s="29">
        <f>ABS(I42-15.5)</f>
        <v/>
      </c>
      <c r="L42" s="29">
        <f>ABS(J42-14.5)</f>
        <v/>
      </c>
      <c r="M42" s="29">
        <f>MAX(ABS(I42-I41),ABS(J42-J41))</f>
        <v/>
      </c>
      <c r="N42" s="29">
        <f>1-MAX(K42,L42)/15.5</f>
        <v/>
      </c>
    </row>
    <row r="43">
      <c r="A43" s="9" t="n">
        <v>37</v>
      </c>
      <c r="B43" s="29">
        <f>'DP-VI'!D45</f>
        <v/>
      </c>
      <c r="C43" s="29">
        <f>'DP-VI'!G45</f>
        <v/>
      </c>
      <c r="D43" s="29">
        <f>ABS(B43-15.5)</f>
        <v/>
      </c>
      <c r="E43" s="29">
        <f>ABS(C43-14.5)</f>
        <v/>
      </c>
      <c r="F43" s="29">
        <f>MAX(ABS(B43-B42),ABS(C43-C42))</f>
        <v/>
      </c>
      <c r="G43" s="29">
        <f>1-MAX(D43,E43)/15.5</f>
        <v/>
      </c>
      <c r="H43" s="9" t="inlineStr"/>
      <c r="I43" s="29">
        <f>'DP-VI'!D100</f>
        <v/>
      </c>
      <c r="J43" s="29">
        <f>'DP-VI'!G100</f>
        <v/>
      </c>
      <c r="K43" s="29">
        <f>ABS(I43-15.5)</f>
        <v/>
      </c>
      <c r="L43" s="29">
        <f>ABS(J43-14.5)</f>
        <v/>
      </c>
      <c r="M43" s="29">
        <f>MAX(ABS(I43-I42),ABS(J43-J42))</f>
        <v/>
      </c>
      <c r="N43" s="29">
        <f>1-MAX(K43,L43)/15.5</f>
        <v/>
      </c>
    </row>
    <row r="44">
      <c r="A44" s="9" t="n">
        <v>38</v>
      </c>
      <c r="B44" s="29">
        <f>'DP-VI'!D46</f>
        <v/>
      </c>
      <c r="C44" s="29">
        <f>'DP-VI'!G46</f>
        <v/>
      </c>
      <c r="D44" s="29">
        <f>ABS(B44-15.5)</f>
        <v/>
      </c>
      <c r="E44" s="29">
        <f>ABS(C44-14.5)</f>
        <v/>
      </c>
      <c r="F44" s="29">
        <f>MAX(ABS(B44-B43),ABS(C44-C43))</f>
        <v/>
      </c>
      <c r="G44" s="29">
        <f>1-MAX(D44,E44)/15.5</f>
        <v/>
      </c>
      <c r="H44" s="9" t="inlineStr"/>
      <c r="I44" s="29">
        <f>'DP-VI'!D101</f>
        <v/>
      </c>
      <c r="J44" s="29">
        <f>'DP-VI'!G101</f>
        <v/>
      </c>
      <c r="K44" s="29">
        <f>ABS(I44-15.5)</f>
        <v/>
      </c>
      <c r="L44" s="29">
        <f>ABS(J44-14.5)</f>
        <v/>
      </c>
      <c r="M44" s="29">
        <f>MAX(ABS(I44-I43),ABS(J44-J43))</f>
        <v/>
      </c>
      <c r="N44" s="29">
        <f>1-MAX(K44,L44)/15.5</f>
        <v/>
      </c>
    </row>
    <row r="45">
      <c r="A45" s="9" t="n">
        <v>39</v>
      </c>
      <c r="B45" s="29">
        <f>'DP-VI'!D47</f>
        <v/>
      </c>
      <c r="C45" s="29">
        <f>'DP-VI'!G47</f>
        <v/>
      </c>
      <c r="D45" s="29">
        <f>ABS(B45-15.5)</f>
        <v/>
      </c>
      <c r="E45" s="29">
        <f>ABS(C45-14.5)</f>
        <v/>
      </c>
      <c r="F45" s="29">
        <f>MAX(ABS(B45-B44),ABS(C45-C44))</f>
        <v/>
      </c>
      <c r="G45" s="29">
        <f>1-MAX(D45,E45)/15.5</f>
        <v/>
      </c>
      <c r="H45" s="9" t="inlineStr"/>
      <c r="I45" s="29">
        <f>'DP-VI'!D102</f>
        <v/>
      </c>
      <c r="J45" s="29">
        <f>'DP-VI'!G102</f>
        <v/>
      </c>
      <c r="K45" s="29">
        <f>ABS(I45-15.5)</f>
        <v/>
      </c>
      <c r="L45" s="29">
        <f>ABS(J45-14.5)</f>
        <v/>
      </c>
      <c r="M45" s="29">
        <f>MAX(ABS(I45-I44),ABS(J45-J44))</f>
        <v/>
      </c>
      <c r="N45" s="29">
        <f>1-MAX(K45,L45)/15.5</f>
        <v/>
      </c>
    </row>
    <row r="46">
      <c r="A46" s="9" t="n">
        <v>40</v>
      </c>
      <c r="B46" s="29">
        <f>'DP-VI'!D48</f>
        <v/>
      </c>
      <c r="C46" s="29">
        <f>'DP-VI'!G48</f>
        <v/>
      </c>
      <c r="D46" s="29">
        <f>ABS(B46-15.5)</f>
        <v/>
      </c>
      <c r="E46" s="29">
        <f>ABS(C46-14.5)</f>
        <v/>
      </c>
      <c r="F46" s="29">
        <f>MAX(ABS(B46-B45),ABS(C46-C45))</f>
        <v/>
      </c>
      <c r="G46" s="29">
        <f>1-MAX(D46,E46)/15.5</f>
        <v/>
      </c>
      <c r="H46" s="9" t="inlineStr"/>
      <c r="I46" s="29">
        <f>'DP-VI'!D103</f>
        <v/>
      </c>
      <c r="J46" s="29">
        <f>'DP-VI'!G103</f>
        <v/>
      </c>
      <c r="K46" s="29">
        <f>ABS(I46-15.5)</f>
        <v/>
      </c>
      <c r="L46" s="29">
        <f>ABS(J46-14.5)</f>
        <v/>
      </c>
      <c r="M46" s="29">
        <f>MAX(ABS(I46-I45),ABS(J46-J45))</f>
        <v/>
      </c>
      <c r="N46" s="29">
        <f>1-MAX(K46,L46)/15.5</f>
        <v/>
      </c>
    </row>
    <row r="47">
      <c r="A47" s="9" t="n">
        <v>41</v>
      </c>
      <c r="B47" s="29">
        <f>'DP-VI'!D49</f>
        <v/>
      </c>
      <c r="C47" s="29">
        <f>'DP-VI'!G49</f>
        <v/>
      </c>
      <c r="D47" s="29">
        <f>ABS(B47-15.5)</f>
        <v/>
      </c>
      <c r="E47" s="29">
        <f>ABS(C47-14.5)</f>
        <v/>
      </c>
      <c r="F47" s="29">
        <f>MAX(ABS(B47-B46),ABS(C47-C46))</f>
        <v/>
      </c>
      <c r="G47" s="29">
        <f>1-MAX(D47,E47)/15.5</f>
        <v/>
      </c>
      <c r="H47" s="9" t="inlineStr"/>
      <c r="I47" s="29">
        <f>'DP-VI'!D104</f>
        <v/>
      </c>
      <c r="J47" s="29">
        <f>'DP-VI'!G104</f>
        <v/>
      </c>
      <c r="K47" s="29">
        <f>ABS(I47-15.5)</f>
        <v/>
      </c>
      <c r="L47" s="29">
        <f>ABS(J47-14.5)</f>
        <v/>
      </c>
      <c r="M47" s="29">
        <f>MAX(ABS(I47-I46),ABS(J47-J46))</f>
        <v/>
      </c>
      <c r="N47" s="29">
        <f>1-MAX(K47,L47)/15.5</f>
        <v/>
      </c>
    </row>
    <row r="48">
      <c r="A48" s="9" t="n">
        <v>42</v>
      </c>
      <c r="B48" s="29">
        <f>'DP-VI'!D50</f>
        <v/>
      </c>
      <c r="C48" s="29">
        <f>'DP-VI'!G50</f>
        <v/>
      </c>
      <c r="D48" s="29">
        <f>ABS(B48-15.5)</f>
        <v/>
      </c>
      <c r="E48" s="29">
        <f>ABS(C48-14.5)</f>
        <v/>
      </c>
      <c r="F48" s="29">
        <f>MAX(ABS(B48-B47),ABS(C48-C47))</f>
        <v/>
      </c>
      <c r="G48" s="29">
        <f>1-MAX(D48,E48)/15.5</f>
        <v/>
      </c>
      <c r="H48" s="9" t="inlineStr"/>
      <c r="I48" s="29">
        <f>'DP-VI'!D105</f>
        <v/>
      </c>
      <c r="J48" s="29">
        <f>'DP-VI'!G105</f>
        <v/>
      </c>
      <c r="K48" s="29">
        <f>ABS(I48-15.5)</f>
        <v/>
      </c>
      <c r="L48" s="29">
        <f>ABS(J48-14.5)</f>
        <v/>
      </c>
      <c r="M48" s="29">
        <f>MAX(ABS(I48-I47),ABS(J48-J47))</f>
        <v/>
      </c>
      <c r="N48" s="29">
        <f>1-MAX(K48,L48)/15.5</f>
        <v/>
      </c>
    </row>
    <row r="49">
      <c r="A49" s="9" t="n">
        <v>43</v>
      </c>
      <c r="B49" s="29">
        <f>'DP-VI'!D51</f>
        <v/>
      </c>
      <c r="C49" s="29">
        <f>'DP-VI'!G51</f>
        <v/>
      </c>
      <c r="D49" s="29">
        <f>ABS(B49-15.5)</f>
        <v/>
      </c>
      <c r="E49" s="29">
        <f>ABS(C49-14.5)</f>
        <v/>
      </c>
      <c r="F49" s="29">
        <f>MAX(ABS(B49-B48),ABS(C49-C48))</f>
        <v/>
      </c>
      <c r="G49" s="29">
        <f>1-MAX(D49,E49)/15.5</f>
        <v/>
      </c>
      <c r="H49" s="9" t="inlineStr"/>
      <c r="I49" s="29">
        <f>'DP-VI'!D106</f>
        <v/>
      </c>
      <c r="J49" s="29">
        <f>'DP-VI'!G106</f>
        <v/>
      </c>
      <c r="K49" s="29">
        <f>ABS(I49-15.5)</f>
        <v/>
      </c>
      <c r="L49" s="29">
        <f>ABS(J49-14.5)</f>
        <v/>
      </c>
      <c r="M49" s="29">
        <f>MAX(ABS(I49-I48),ABS(J49-J48))</f>
        <v/>
      </c>
      <c r="N49" s="29">
        <f>1-MAX(K49,L49)/15.5</f>
        <v/>
      </c>
    </row>
    <row r="50">
      <c r="A50" s="9" t="n">
        <v>44</v>
      </c>
      <c r="B50" s="29">
        <f>'DP-VI'!D52</f>
        <v/>
      </c>
      <c r="C50" s="29">
        <f>'DP-VI'!G52</f>
        <v/>
      </c>
      <c r="D50" s="29">
        <f>ABS(B50-15.5)</f>
        <v/>
      </c>
      <c r="E50" s="29">
        <f>ABS(C50-14.5)</f>
        <v/>
      </c>
      <c r="F50" s="29">
        <f>MAX(ABS(B50-B49),ABS(C50-C49))</f>
        <v/>
      </c>
      <c r="G50" s="29">
        <f>1-MAX(D50,E50)/15.5</f>
        <v/>
      </c>
      <c r="H50" s="9" t="inlineStr"/>
      <c r="I50" s="29">
        <f>'DP-VI'!D107</f>
        <v/>
      </c>
      <c r="J50" s="29">
        <f>'DP-VI'!G107</f>
        <v/>
      </c>
      <c r="K50" s="29">
        <f>ABS(I50-15.5)</f>
        <v/>
      </c>
      <c r="L50" s="29">
        <f>ABS(J50-14.5)</f>
        <v/>
      </c>
      <c r="M50" s="29">
        <f>MAX(ABS(I50-I49),ABS(J50-J49))</f>
        <v/>
      </c>
      <c r="N50" s="29">
        <f>1-MAX(K50,L50)/15.5</f>
        <v/>
      </c>
    </row>
    <row r="51">
      <c r="A51" s="9" t="n">
        <v>45</v>
      </c>
      <c r="B51" s="29">
        <f>'DP-VI'!D53</f>
        <v/>
      </c>
      <c r="C51" s="29">
        <f>'DP-VI'!G53</f>
        <v/>
      </c>
      <c r="D51" s="29">
        <f>ABS(B51-15.5)</f>
        <v/>
      </c>
      <c r="E51" s="29">
        <f>ABS(C51-14.5)</f>
        <v/>
      </c>
      <c r="F51" s="29">
        <f>MAX(ABS(B51-B50),ABS(C51-C50))</f>
        <v/>
      </c>
      <c r="G51" s="29">
        <f>1-MAX(D51,E51)/15.5</f>
        <v/>
      </c>
      <c r="H51" s="9" t="inlineStr"/>
      <c r="I51" s="29">
        <f>'DP-VI'!D108</f>
        <v/>
      </c>
      <c r="J51" s="29">
        <f>'DP-VI'!G108</f>
        <v/>
      </c>
      <c r="K51" s="29">
        <f>ABS(I51-15.5)</f>
        <v/>
      </c>
      <c r="L51" s="29">
        <f>ABS(J51-14.5)</f>
        <v/>
      </c>
      <c r="M51" s="29">
        <f>MAX(ABS(I51-I50),ABS(J51-J50))</f>
        <v/>
      </c>
      <c r="N51" s="29">
        <f>1-MAX(K51,L51)/15.5</f>
        <v/>
      </c>
    </row>
    <row r="52">
      <c r="A52" s="9" t="n">
        <v>46</v>
      </c>
      <c r="B52" s="29">
        <f>'DP-VI'!D54</f>
        <v/>
      </c>
      <c r="C52" s="29">
        <f>'DP-VI'!G54</f>
        <v/>
      </c>
      <c r="D52" s="29">
        <f>ABS(B52-15.5)</f>
        <v/>
      </c>
      <c r="E52" s="29">
        <f>ABS(C52-14.5)</f>
        <v/>
      </c>
      <c r="F52" s="29">
        <f>MAX(ABS(B52-B51),ABS(C52-C51))</f>
        <v/>
      </c>
      <c r="G52" s="29">
        <f>1-MAX(D52,E52)/15.5</f>
        <v/>
      </c>
      <c r="H52" s="9" t="inlineStr"/>
      <c r="I52" s="29">
        <f>'DP-VI'!D109</f>
        <v/>
      </c>
      <c r="J52" s="29">
        <f>'DP-VI'!G109</f>
        <v/>
      </c>
      <c r="K52" s="29">
        <f>ABS(I52-15.5)</f>
        <v/>
      </c>
      <c r="L52" s="29">
        <f>ABS(J52-14.5)</f>
        <v/>
      </c>
      <c r="M52" s="29">
        <f>MAX(ABS(I52-I51),ABS(J52-J51))</f>
        <v/>
      </c>
      <c r="N52" s="29">
        <f>1-MAX(K52,L52)/15.5</f>
        <v/>
      </c>
    </row>
    <row r="53">
      <c r="A53" s="9" t="n">
        <v>47</v>
      </c>
      <c r="B53" s="29">
        <f>'DP-VI'!D55</f>
        <v/>
      </c>
      <c r="C53" s="29">
        <f>'DP-VI'!G55</f>
        <v/>
      </c>
      <c r="D53" s="29">
        <f>ABS(B53-15.5)</f>
        <v/>
      </c>
      <c r="E53" s="29">
        <f>ABS(C53-14.5)</f>
        <v/>
      </c>
      <c r="F53" s="29">
        <f>MAX(ABS(B53-B52),ABS(C53-C52))</f>
        <v/>
      </c>
      <c r="G53" s="29">
        <f>1-MAX(D53,E53)/15.5</f>
        <v/>
      </c>
      <c r="H53" s="9" t="inlineStr"/>
      <c r="I53" s="29">
        <f>'DP-VI'!D110</f>
        <v/>
      </c>
      <c r="J53" s="29">
        <f>'DP-VI'!G110</f>
        <v/>
      </c>
      <c r="K53" s="29">
        <f>ABS(I53-15.5)</f>
        <v/>
      </c>
      <c r="L53" s="29">
        <f>ABS(J53-14.5)</f>
        <v/>
      </c>
      <c r="M53" s="29">
        <f>MAX(ABS(I53-I52),ABS(J53-J52))</f>
        <v/>
      </c>
      <c r="N53" s="29">
        <f>1-MAX(K53,L53)/15.5</f>
        <v/>
      </c>
    </row>
    <row r="54">
      <c r="A54" s="9" t="n">
        <v>48</v>
      </c>
      <c r="B54" s="29">
        <f>'DP-VI'!D56</f>
        <v/>
      </c>
      <c r="C54" s="29">
        <f>'DP-VI'!G56</f>
        <v/>
      </c>
      <c r="D54" s="29">
        <f>ABS(B54-15.5)</f>
        <v/>
      </c>
      <c r="E54" s="29">
        <f>ABS(C54-14.5)</f>
        <v/>
      </c>
      <c r="F54" s="29">
        <f>MAX(ABS(B54-B53),ABS(C54-C53))</f>
        <v/>
      </c>
      <c r="G54" s="29">
        <f>1-MAX(D54,E54)/15.5</f>
        <v/>
      </c>
      <c r="H54" s="9" t="inlineStr"/>
      <c r="I54" s="29">
        <f>'DP-VI'!D111</f>
        <v/>
      </c>
      <c r="J54" s="29">
        <f>'DP-VI'!G111</f>
        <v/>
      </c>
      <c r="K54" s="29">
        <f>ABS(I54-15.5)</f>
        <v/>
      </c>
      <c r="L54" s="29">
        <f>ABS(J54-14.5)</f>
        <v/>
      </c>
      <c r="M54" s="29">
        <f>MAX(ABS(I54-I53),ABS(J54-J53))</f>
        <v/>
      </c>
      <c r="N54" s="29">
        <f>1-MAX(K54,L54)/15.5</f>
        <v/>
      </c>
    </row>
    <row r="55">
      <c r="A55" s="9" t="n">
        <v>49</v>
      </c>
      <c r="B55" s="29">
        <f>'DP-VI'!D57</f>
        <v/>
      </c>
      <c r="C55" s="29">
        <f>'DP-VI'!G57</f>
        <v/>
      </c>
      <c r="D55" s="29">
        <f>ABS(B55-15.5)</f>
        <v/>
      </c>
      <c r="E55" s="29">
        <f>ABS(C55-14.5)</f>
        <v/>
      </c>
      <c r="F55" s="29">
        <f>MAX(ABS(B55-B54),ABS(C55-C54))</f>
        <v/>
      </c>
      <c r="G55" s="29">
        <f>1-MAX(D55,E55)/15.5</f>
        <v/>
      </c>
      <c r="H55" s="9" t="inlineStr"/>
      <c r="I55" s="29">
        <f>'DP-VI'!D112</f>
        <v/>
      </c>
      <c r="J55" s="29">
        <f>'DP-VI'!G112</f>
        <v/>
      </c>
      <c r="K55" s="29">
        <f>ABS(I55-15.5)</f>
        <v/>
      </c>
      <c r="L55" s="29">
        <f>ABS(J55-14.5)</f>
        <v/>
      </c>
      <c r="M55" s="29">
        <f>MAX(ABS(I55-I54),ABS(J55-J54))</f>
        <v/>
      </c>
      <c r="N55" s="29">
        <f>1-MAX(K55,L55)/15.5</f>
        <v/>
      </c>
    </row>
    <row r="56">
      <c r="A56" s="9" t="n">
        <v>50</v>
      </c>
      <c r="B56" s="29">
        <f>'DP-VI'!D58</f>
        <v/>
      </c>
      <c r="C56" s="29">
        <f>'DP-VI'!G58</f>
        <v/>
      </c>
      <c r="D56" s="29">
        <f>ABS(B56-15.5)</f>
        <v/>
      </c>
      <c r="E56" s="29">
        <f>ABS(C56-14.5)</f>
        <v/>
      </c>
      <c r="F56" s="29">
        <f>MAX(ABS(B56-B55),ABS(C56-C55))</f>
        <v/>
      </c>
      <c r="G56" s="29">
        <f>1-MAX(D56,E56)/15.5</f>
        <v/>
      </c>
      <c r="H56" s="9" t="inlineStr"/>
      <c r="I56" s="29">
        <f>'DP-VI'!D113</f>
        <v/>
      </c>
      <c r="J56" s="29">
        <f>'DP-VI'!G113</f>
        <v/>
      </c>
      <c r="K56" s="29">
        <f>ABS(I56-15.5)</f>
        <v/>
      </c>
      <c r="L56" s="29">
        <f>ABS(J56-14.5)</f>
        <v/>
      </c>
      <c r="M56" s="29">
        <f>MAX(ABS(I56-I55),ABS(J56-J55))</f>
        <v/>
      </c>
      <c r="N56" s="29">
        <f>1-MAX(K56,L56)/15.5</f>
        <v/>
      </c>
    </row>
    <row r="57"/>
    <row r="58">
      <c r="A58" s="2" t="inlineStr">
        <is>
          <t>Convergence Summary</t>
        </is>
      </c>
    </row>
    <row r="59">
      <c r="A59" s="6" t="inlineStr">
        <is>
          <t>Metric</t>
        </is>
      </c>
      <c r="B59" s="6" t="inlineStr">
        <is>
          <t>Synchronous</t>
        </is>
      </c>
      <c r="C59" s="6" t="inlineStr">
        <is>
          <t>In-Place</t>
        </is>
      </c>
    </row>
    <row r="60">
      <c r="A60" s="9" t="inlineStr">
        <is>
          <t>Final V*(Cool)</t>
        </is>
      </c>
      <c r="B60" s="29">
        <f>B56</f>
        <v/>
      </c>
      <c r="C60" s="29">
        <f>I56</f>
        <v/>
      </c>
    </row>
    <row r="61">
      <c r="A61" s="9" t="inlineStr">
        <is>
          <t>Final V*(Warm)</t>
        </is>
      </c>
      <c r="B61" s="29">
        <f>C56</f>
        <v/>
      </c>
      <c r="C61" s="29">
        <f>J56</f>
        <v/>
      </c>
    </row>
    <row r="62">
      <c r="A62" s="9" t="inlineStr">
        <is>
          <t>Analytical V*(Cool)</t>
        </is>
      </c>
      <c r="B62" s="9" t="n">
        <v>15.5</v>
      </c>
      <c r="C62" s="9" t="n">
        <v>15.5</v>
      </c>
    </row>
    <row r="63">
      <c r="A63" s="9" t="inlineStr">
        <is>
          <t>Analytical V*(Warm)</t>
        </is>
      </c>
      <c r="B63" s="9" t="n">
        <v>14.5</v>
      </c>
      <c r="C63" s="9" t="n">
        <v>14.5</v>
      </c>
    </row>
    <row r="64">
      <c r="A64" s="9" t="inlineStr">
        <is>
          <t>Final |error|</t>
        </is>
      </c>
      <c r="B64" s="29">
        <f>MAX(D56,E56)</f>
        <v/>
      </c>
      <c r="C64" s="29">
        <f>MAX(K56,L56)</f>
        <v/>
      </c>
    </row>
    <row r="65">
      <c r="A65" s="9" t="inlineStr">
        <is>
          <t>Final % converged</t>
        </is>
      </c>
      <c r="B65" s="29">
        <f>G56</f>
        <v/>
      </c>
      <c r="C65" s="29">
        <f>N56</f>
        <v/>
      </c>
    </row>
    <row r="66">
      <c r="A66" s="9" t="inlineStr">
        <is>
          <t>Final |DV|</t>
        </is>
      </c>
      <c r="B66" s="29">
        <f>F56</f>
        <v/>
      </c>
      <c r="C66" s="29">
        <f>M56</f>
        <v/>
      </c>
    </row>
    <row r="67">
      <c r="A67" s="9" t="inlineStr">
        <is>
          <t>Contraction |DV_k|/|DV_{k-1}| at k=10</t>
        </is>
      </c>
      <c r="B67" s="29">
        <f>F16/F15</f>
        <v/>
      </c>
      <c r="C67" s="29">
        <f>M16/M15</f>
        <v/>
      </c>
    </row>
    <row r="68">
      <c r="A68" s="9" t="inlineStr">
        <is>
          <t>Expected ratio (gamma)</t>
        </is>
      </c>
      <c r="B68" s="9" t="n">
        <v>0.9</v>
      </c>
      <c r="C68" s="9" t="n">
        <v>0.9</v>
      </c>
    </row>
    <row r="69"/>
    <row r="70">
      <c r="A70" s="2" t="inlineStr">
        <is>
          <t>Convergence Speed (first k where |DV| &lt; threshold)</t>
        </is>
      </c>
    </row>
    <row r="71">
      <c r="A71" s="6" t="inlineStr">
        <is>
          <t>Threshold</t>
        </is>
      </c>
      <c r="B71" s="6" t="inlineStr">
        <is>
          <t>Sync k</t>
        </is>
      </c>
      <c r="C71" s="6" t="inlineStr">
        <is>
          <t>InPlace k</t>
        </is>
      </c>
      <c r="D71" s="6" t="inlineStr">
        <is>
          <t>InPlace faster by</t>
        </is>
      </c>
    </row>
    <row r="72">
      <c r="A72" s="9" t="n">
        <v>1</v>
      </c>
      <c r="B72" s="29">
        <f>IFERROR(SUMPRODUCT((F7:F56&gt;=1.0)*1)+1,"&gt;50")</f>
        <v/>
      </c>
      <c r="C72" s="29">
        <f>IFERROR(SUMPRODUCT((M7:M56&gt;=1.0)*1)+1,"&gt;50")</f>
        <v/>
      </c>
      <c r="D72" s="29">
        <f>IF(AND(ISNUMBER(B72),ISNUMBER(C72)),B72-C72,"n/a")</f>
        <v/>
      </c>
    </row>
    <row r="73">
      <c r="A73" s="9" t="n">
        <v>0.1</v>
      </c>
      <c r="B73" s="29">
        <f>IFERROR(SUMPRODUCT((F7:F56&gt;=0.1)*1)+1,"&gt;50")</f>
        <v/>
      </c>
      <c r="C73" s="29">
        <f>IFERROR(SUMPRODUCT((M7:M56&gt;=0.1)*1)+1,"&gt;50")</f>
        <v/>
      </c>
      <c r="D73" s="29">
        <f>IF(AND(ISNUMBER(B73),ISNUMBER(C73)),B73-C73,"n/a")</f>
        <v/>
      </c>
    </row>
    <row r="74">
      <c r="A74" s="9" t="n">
        <v>0.01</v>
      </c>
      <c r="B74" s="29">
        <f>IFERROR(SUMPRODUCT((F7:F56&gt;=0.01)*1)+1,"&gt;50")</f>
        <v/>
      </c>
      <c r="C74" s="29">
        <f>IFERROR(SUMPRODUCT((M7:M56&gt;=0.01)*1)+1,"&gt;50")</f>
        <v/>
      </c>
      <c r="D74" s="29">
        <f>IF(AND(ISNUMBER(B74),ISNUMBER(C74)),B74-C74,"n/a")</f>
        <v/>
      </c>
    </row>
    <row r="75">
      <c r="A75" s="9" t="n">
        <v>0.001</v>
      </c>
      <c r="B75" s="29">
        <f>IFERROR(SUMPRODUCT((F7:F56&gt;=0.001)*1)+1,"&gt;50")</f>
        <v/>
      </c>
      <c r="C75" s="29">
        <f>IFERROR(SUMPRODUCT((M7:M56&gt;=0.001)*1)+1,"&gt;50")</f>
        <v/>
      </c>
      <c r="D75" s="29">
        <f>IF(AND(ISNUMBER(B75),ISNUMBER(C75)),B75-C75,"n/a")</f>
        <v/>
      </c>
    </row>
    <row r="76">
      <c r="A76" s="9" t="n">
        <v>0.0001</v>
      </c>
      <c r="B76" s="29">
        <f>IFERROR(SUMPRODUCT((F7:F56&gt;=0.0001)*1)+1,"&gt;50")</f>
        <v/>
      </c>
      <c r="C76" s="29">
        <f>IFERROR(SUMPRODUCT((M7:M56&gt;=0.0001)*1)+1,"&gt;50")</f>
        <v/>
      </c>
      <c r="D76" s="29">
        <f>IF(AND(ISNUMBER(B76),ISNUMBER(C76)),B76-C76,"n/a")</f>
        <v/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cols>
    <col width="58" customWidth="1" min="1" max="1"/>
    <col width="58" customWidth="1" min="2" max="2"/>
    <col width="58" customWidth="1" min="3" max="3"/>
    <col width="42" customWidth="1" min="4" max="4"/>
    <col width="42" customWidth="1" min="5" max="5"/>
    <col width="14" customWidth="1" min="6" max="6"/>
    <col width="14" customWidth="1" min="7" max="7"/>
  </cols>
  <sheetData>
    <row r="1">
      <c r="A1" s="1" t="inlineStr">
        <is>
          <t>Analytical Solution: Solving the Bellman Optimality Equation for V* and Q*</t>
        </is>
      </c>
    </row>
    <row r="2"/>
    <row r="3">
      <c r="A3" s="2" t="inlineStr">
        <is>
          <t>Step 1: The Bellman Optimality Equation</t>
        </is>
      </c>
    </row>
    <row r="4">
      <c r="A4" s="4" t="inlineStr">
        <is>
          <t>V*(s) = max_a  SUM_{s'} P(s'|s,a) * [ R(s,a,s') + gamma * V*(s') ]</t>
        </is>
      </c>
    </row>
    <row r="5">
      <c r="A5" s="4" t="inlineStr">
        <is>
          <t>This is a SYSTEM of simultaneous equations. V*(s) on the left and V*(s') on the right are the SAME solution.</t>
        </is>
      </c>
    </row>
    <row r="6">
      <c r="A6" s="4" t="inlineStr">
        <is>
          <t>It is NOT an iterative update — it describes the fixed point that DP converges TO.</t>
        </is>
      </c>
    </row>
    <row r="7"/>
    <row r="8">
      <c r="A8" s="2" t="inlineStr">
        <is>
          <t>Step 2: Expand Q*(s,a) = SUM P(s'|s,a) * [R + gamma*V*(s')] for each (s,a)</t>
        </is>
      </c>
    </row>
    <row r="9">
      <c r="A9" s="6" t="inlineStr">
        <is>
          <t>(s, a)</t>
        </is>
      </c>
      <c r="B9" s="6" t="inlineStr">
        <is>
          <t>Expansion</t>
        </is>
      </c>
      <c r="C9" s="6" t="inlineStr">
        <is>
          <t>Simplified</t>
        </is>
      </c>
    </row>
    <row r="10">
      <c r="A10" s="7" t="inlineStr">
        <is>
          <t>(Cool, Slow)</t>
        </is>
      </c>
      <c r="B10" s="9" t="inlineStr">
        <is>
          <t>P(C|C,S)*[R(C,S,C)+g*V*(C)] + P(W|C,S)*[R(C,S,W)+g*V*(W)]</t>
        </is>
      </c>
      <c r="C10" s="9" t="inlineStr">
        <is>
          <t>0.5*(1+0.9*V*(C)) + 0.5*(1+0.9*V*(W))</t>
        </is>
      </c>
    </row>
    <row r="11">
      <c r="A11" s="7" t="inlineStr">
        <is>
          <t>(Cool, Fast)</t>
        </is>
      </c>
      <c r="B11" s="9" t="inlineStr">
        <is>
          <t>P(C|C,F)*[R(C,F,C)+g*V*(C)] + P(W|C,F)*[R(C,F,W)+g*V*(W)]</t>
        </is>
      </c>
      <c r="C11" s="9" t="inlineStr">
        <is>
          <t>0.5*(2+0.9*V*(C)) + 0.5*(2+0.9*V*(W))</t>
        </is>
      </c>
    </row>
    <row r="12">
      <c r="A12" s="7" t="inlineStr">
        <is>
          <t>(Warm, Slow)</t>
        </is>
      </c>
      <c r="B12" s="9" t="inlineStr">
        <is>
          <t>P(C|W,S)*[R(W,S,C)+g*V*(C)] + P(W|W,S)*[R(W,S,W)+g*V*(W)]</t>
        </is>
      </c>
      <c r="C12" s="9" t="inlineStr">
        <is>
          <t>0.5*(1+0.9*V*(C)) + 0.5*(1+0.9*V*(W))</t>
        </is>
      </c>
    </row>
    <row r="13">
      <c r="A13" s="7" t="inlineStr">
        <is>
          <t>(Warm, Fast)</t>
        </is>
      </c>
      <c r="B13" s="9" t="inlineStr">
        <is>
          <t>P(OH|W,F)*[R(W,F,OH)+g*V*(OH)]</t>
        </is>
      </c>
      <c r="C13" s="9" t="inlineStr">
        <is>
          <t>1*(-10+0.9*0) = -10</t>
        </is>
      </c>
    </row>
    <row r="14"/>
    <row r="15">
      <c r="A15" s="2" t="inlineStr">
        <is>
          <t>Step 3: Why This Is a SYSTEM of Equations (Circular Dependency)</t>
        </is>
      </c>
    </row>
    <row r="16">
      <c r="A16" s="4" t="inlineStr">
        <is>
          <t>In TRUE recursion, you start from a base case (leaf) and work backward — each unknown depends only on ALREADY-KNOWN values.</t>
        </is>
      </c>
    </row>
    <row r="17">
      <c r="A17" s="4" t="inlineStr">
        <is>
          <t>Here, the Bellman equation is CIRCULAR: V*(Cool) needs V*(Warm), and V*(Warm) needs V*(Cool). Neither can be solved first.</t>
        </is>
      </c>
    </row>
    <row r="18"/>
    <row r="19">
      <c r="A19" s="2" t="inlineStr">
        <is>
          <t>Trace the dependency chain:</t>
        </is>
      </c>
    </row>
    <row r="20">
      <c r="A20" s="6" t="inlineStr">
        <is>
          <t>#</t>
        </is>
      </c>
      <c r="B20" s="6" t="inlineStr">
        <is>
          <t>To compute...</t>
        </is>
      </c>
      <c r="C20" s="6" t="inlineStr">
        <is>
          <t>We need...</t>
        </is>
      </c>
      <c r="D20" s="6" t="inlineStr">
        <is>
          <t>Which requires...</t>
        </is>
      </c>
      <c r="E20" s="6" t="inlineStr">
        <is>
          <t>Problem</t>
        </is>
      </c>
    </row>
    <row r="21">
      <c r="A21" s="7" t="inlineStr">
        <is>
          <t>1</t>
        </is>
      </c>
      <c r="B21" s="9" t="inlineStr">
        <is>
          <t>V*(Cool) = max Q*(Cool,a)</t>
        </is>
      </c>
      <c r="C21" s="9" t="inlineStr">
        <is>
          <t>Q*(Cool,Fast) = 0.5*(2+0.9*V*(C)) + 0.5*(2+0.9*V*(W))</t>
        </is>
      </c>
      <c r="D21" s="9" t="inlineStr">
        <is>
          <t>V*(Cool) AND V*(Warm)</t>
        </is>
      </c>
      <c r="E21" s="34" t="inlineStr">
        <is>
          <t>V*(Warm) is UNKNOWN</t>
        </is>
      </c>
    </row>
    <row r="22">
      <c r="A22" s="7" t="inlineStr">
        <is>
          <t>2</t>
        </is>
      </c>
      <c r="B22" s="9" t="inlineStr">
        <is>
          <t>V*(Warm) = max Q*(Warm,a)</t>
        </is>
      </c>
      <c r="C22" s="9" t="inlineStr">
        <is>
          <t>Q*(Warm,Slow) = 0.5*(1+0.9*V*(C)) + 0.5*(1+0.9*V*(W))</t>
        </is>
      </c>
      <c r="D22" s="9" t="inlineStr">
        <is>
          <t>V*(Cool) AND V*(Warm)</t>
        </is>
      </c>
      <c r="E22" s="34" t="inlineStr">
        <is>
          <t>V*(Cool) is UNKNOWN</t>
        </is>
      </c>
    </row>
    <row r="23">
      <c r="A23" s="7" t="inlineStr">
        <is>
          <t>3</t>
        </is>
      </c>
      <c r="B23" s="9" t="inlineStr">
        <is>
          <t>Attempt: solve V*(Cool) first?</t>
        </is>
      </c>
      <c r="C23" s="9" t="inlineStr">
        <is>
          <t>Stuck — need V*(Warm) which needs V*(Cool)</t>
        </is>
      </c>
      <c r="D23" s="9" t="inlineStr">
        <is>
          <t>CIRCULAR: Cool -&gt; Warm -&gt; Cool -&gt; ...</t>
        </is>
      </c>
      <c r="E23" s="34" t="inlineStr">
        <is>
          <t>No ordering exists!</t>
        </is>
      </c>
    </row>
    <row r="24">
      <c r="A24" s="7" t="inlineStr">
        <is>
          <t>4</t>
        </is>
      </c>
      <c r="B24" s="9" t="inlineStr">
        <is>
          <t>Attempt: solve V*(Warm) first?</t>
        </is>
      </c>
      <c r="C24" s="9" t="inlineStr">
        <is>
          <t>Stuck — need V*(Cool) which needs V*(Warm)</t>
        </is>
      </c>
      <c r="D24" s="9" t="inlineStr">
        <is>
          <t>CIRCULAR: Warm -&gt; Cool -&gt; Warm -&gt; ...</t>
        </is>
      </c>
      <c r="E24" s="34" t="inlineStr">
        <is>
          <t>Same deadlock!</t>
        </is>
      </c>
    </row>
    <row r="25"/>
    <row r="26">
      <c r="A26" s="32" t="inlineStr">
        <is>
          <t>The ROOT CAUSE: Cycles in the transition graph</t>
        </is>
      </c>
    </row>
    <row r="27">
      <c r="A27" s="4" t="inlineStr">
        <is>
          <t>Cool --[Fast/Slow]--&gt; Cool or Warm.    Warm --[Slow]--&gt; Cool or Warm.    This creates a CYCLE: Cool &lt;-&gt; Warm.</t>
        </is>
      </c>
    </row>
    <row r="28">
      <c r="A28" s="4" t="inlineStr">
        <is>
          <t>Cycles mean mutual dependency. The value of being in Cool depends on what happens in Warm, and vice versa.</t>
        </is>
      </c>
    </row>
    <row r="29"/>
    <row r="30">
      <c r="A30" s="2" t="inlineStr">
        <is>
          <t>Contrast: When IS it simple recursion? (no cycles)</t>
        </is>
      </c>
    </row>
    <row r="31">
      <c r="A31" s="6" t="inlineStr">
        <is>
          <t>Scenario</t>
        </is>
      </c>
      <c r="B31" s="6" t="inlineStr">
        <is>
          <t>Dependency</t>
        </is>
      </c>
      <c r="C31" s="6" t="inlineStr">
        <is>
          <t>Solvable by recursion?</t>
        </is>
      </c>
    </row>
    <row r="32">
      <c r="A32" s="7" t="inlineStr">
        <is>
          <t>Q*(Warm, Fast) = -10</t>
        </is>
      </c>
      <c r="B32" s="9" t="inlineStr">
        <is>
          <t>Only depends on V*(OH) = 0 (terminal, KNOWN)</t>
        </is>
      </c>
      <c r="C32" s="9" t="inlineStr">
        <is>
          <t>YES — base case, no unknowns</t>
        </is>
      </c>
    </row>
    <row r="33">
      <c r="A33" s="7" t="inlineStr">
        <is>
          <t>A -&gt; B -&gt; C -&gt; Terminal (no cycles)</t>
        </is>
      </c>
      <c r="B33" s="9" t="inlineStr">
        <is>
          <t>V*(C) needs terminal only, V*(B) needs V*(C), V*(A) needs V*(B)</t>
        </is>
      </c>
      <c r="C33" s="9" t="inlineStr">
        <is>
          <t>YES — solve backward from terminal</t>
        </is>
      </c>
    </row>
    <row r="34">
      <c r="A34" s="7" t="inlineStr">
        <is>
          <t>Cool &lt;-&gt; Warm (our problem!)</t>
        </is>
      </c>
      <c r="B34" s="9" t="inlineStr">
        <is>
          <t>V*(Cool) needs V*(Warm), V*(Warm) needs V*(Cool)</t>
        </is>
      </c>
      <c r="C34" s="9" t="inlineStr">
        <is>
          <t>NO — must solve simultaneously</t>
        </is>
      </c>
    </row>
    <row r="35">
      <c r="A35" s="7" t="inlineStr">
        <is>
          <t>N states all connected to each other</t>
        </is>
      </c>
      <c r="B35" s="9" t="inlineStr">
        <is>
          <t>Every V*(s) depends on every other V*(s')</t>
        </is>
      </c>
      <c r="C35" s="9" t="inlineStr">
        <is>
          <t>NO — N equations in N unknowns</t>
        </is>
      </c>
    </row>
    <row r="36"/>
    <row r="37">
      <c r="A37" s="2" t="inlineStr">
        <is>
          <t>Three ways to handle the circular dependency:</t>
        </is>
      </c>
    </row>
    <row r="38">
      <c r="A38" s="38" t="inlineStr">
        <is>
          <t>1. ALGEBRA (this sheet): Introduce variable x, substitute, solve the resulting equation. Works for small MDPs.</t>
        </is>
      </c>
    </row>
    <row r="39">
      <c r="A39" s="38" t="inlineStr">
        <is>
          <t>2. LINEAR ALGEBRA: Write as matrix equation V = R + gamma*P*V, solve (I - gamma*P)*V = R. Works for any size.</t>
        </is>
      </c>
    </row>
    <row r="40">
      <c r="A40" s="38" t="inlineStr">
        <is>
          <t>3. ITERATIVE (DP): Start with V=0, repeatedly apply Bellman update. Converges to the fixed point (see DP-VI sheet).</t>
        </is>
      </c>
    </row>
    <row r="41"/>
    <row r="42">
      <c r="A42" s="4" t="inlineStr">
        <is>
          <t>SUMMARY: It's called a 'system' because V*(Cool) and V*(Warm) are coupled unknowns that must be solved TOGETHER, not one after the other.</t>
        </is>
      </c>
    </row>
    <row r="43"/>
    <row r="44">
      <c r="A44" s="2" t="inlineStr">
        <is>
          <t>Step 4: Key Observations (before solving)</t>
        </is>
      </c>
    </row>
    <row r="45">
      <c r="A45" s="38" t="inlineStr">
        <is>
          <t>Q*(Cool,Slow) = Q*(Warm,Slow) — same formula because both have 0.5/0.5 to Cool/Warm with R=1</t>
        </is>
      </c>
    </row>
    <row r="46">
      <c r="A46" s="38" t="inlineStr">
        <is>
          <t>Q*(Cool,Fast) = Q*(Cool,Slow) + 1 — Fast just adds +1 more reward per transition (2 vs 1)</t>
        </is>
      </c>
    </row>
    <row r="47">
      <c r="A47" s="38" t="inlineStr">
        <is>
          <t>Q*(Warm,Fast) = -10 — no unknowns, Warm+Fast always goes to terminal Overheated</t>
        </is>
      </c>
    </row>
    <row r="48">
      <c r="A48" s="38" t="inlineStr">
        <is>
          <t>Since Q*(Cool,Fast) &gt; Q*(Cool,Slow) always: V*(Cool) = Q*(Cool,Fast) — optimal action at Cool is Fast</t>
        </is>
      </c>
    </row>
    <row r="49">
      <c r="A49" s="38" t="inlineStr">
        <is>
          <t>Since Q*(Warm,Slow) &gt;&gt; Q*(Warm,Fast)=-10: V*(Warm) = Q*(Warm,Slow) — optimal action at Warm is Slow</t>
        </is>
      </c>
    </row>
    <row r="50"/>
    <row r="51">
      <c r="A51" s="2" t="inlineStr">
        <is>
          <t>Step 5: Set up the simultaneous equations</t>
        </is>
      </c>
    </row>
    <row r="52">
      <c r="A52" s="4" t="inlineStr">
        <is>
          <t>Let x = Q*(Cool,Slow) = Q*(Warm,Slow).  Then V*(Warm) = x, V*(Cool) = x+1.</t>
        </is>
      </c>
    </row>
    <row r="53"/>
    <row r="54">
      <c r="A54" s="7" t="inlineStr">
        <is>
          <t>Define:</t>
        </is>
      </c>
      <c r="B54" t="inlineStr">
        <is>
          <t>x = V*(Warm) = Q*(Warm,Slow)</t>
        </is>
      </c>
    </row>
    <row r="55">
      <c r="A55" s="7" t="inlineStr">
        <is>
          <t>Then:</t>
        </is>
      </c>
      <c r="B55" t="inlineStr">
        <is>
          <t>V*(Cool) = Q*(Cool,Fast) = x + 1</t>
        </is>
      </c>
    </row>
    <row r="56">
      <c r="A56" s="7" t="inlineStr"/>
      <c r="B56" t="inlineStr"/>
    </row>
    <row r="57">
      <c r="A57" s="7" t="inlineStr">
        <is>
          <t>Substitute into Q*(Warm,Slow):</t>
        </is>
      </c>
      <c r="B57" t="inlineStr">
        <is>
          <t>x = 0.5*(1 + 0.9*(x+1)) + 0.5*(1 + 0.9*x)</t>
        </is>
      </c>
    </row>
    <row r="58"/>
    <row r="59">
      <c r="A59" s="2" t="inlineStr">
        <is>
          <t>Step 6: Solve step by step (every cell is a formula verifying each algebraic step)</t>
        </is>
      </c>
    </row>
    <row r="60">
      <c r="A60" s="6" t="inlineStr">
        <is>
          <t>Step</t>
        </is>
      </c>
      <c r="B60" s="6" t="inlineStr">
        <is>
          <t>Equation</t>
        </is>
      </c>
      <c r="C60" s="6" t="inlineStr">
        <is>
          <t>LHS</t>
        </is>
      </c>
      <c r="D60" s="6" t="inlineStr">
        <is>
          <t>RHS</t>
        </is>
      </c>
      <c r="E60" s="6" t="inlineStr">
        <is>
          <t>LHS=RHS?</t>
        </is>
      </c>
    </row>
    <row r="61">
      <c r="A61" s="7" t="inlineStr">
        <is>
          <t>Start</t>
        </is>
      </c>
      <c r="B61" s="9" t="inlineStr">
        <is>
          <t>x = 0.5*(1+0.9*(x+1)) + 0.5*(1+0.9*x)</t>
        </is>
      </c>
    </row>
    <row r="62">
      <c r="A62" s="7" t="inlineStr">
        <is>
          <t>Expand 1st</t>
        </is>
      </c>
      <c r="B62" s="9" t="inlineStr">
        <is>
          <t>0.5*(1 + 0.9x + 0.9)</t>
        </is>
      </c>
      <c r="C62" s="29">
        <f>0.5*(1+0.9*B71+0.9)</f>
        <v/>
      </c>
      <c r="D62" s="29">
        <f>0.5*(1+0.9*(B71+1))</f>
        <v/>
      </c>
      <c r="E62" s="29">
        <f>IF(ABS(C62-D62)&lt;0.0001,"= YES","= NO")</f>
        <v/>
      </c>
    </row>
    <row r="63">
      <c r="A63" s="7" t="inlineStr">
        <is>
          <t>Expand 2nd</t>
        </is>
      </c>
      <c r="B63" s="9" t="inlineStr">
        <is>
          <t>0.5*(1 + 0.9x)</t>
        </is>
      </c>
      <c r="C63" s="29">
        <f>0.5*(1+0.9*B71)</f>
        <v/>
      </c>
      <c r="D63" s="29">
        <f>0.5*(1+0.9*B71)</f>
        <v/>
      </c>
      <c r="E63" s="29">
        <f>IF(ABS(C63-D63)&lt;0.0001,"= YES","= NO")</f>
        <v/>
      </c>
    </row>
    <row r="64">
      <c r="A64" s="7" t="inlineStr">
        <is>
          <t>Sum both</t>
        </is>
      </c>
      <c r="B64" s="9" t="inlineStr">
        <is>
          <t>0.5+0.45x+0.45 + 0.5+0.45x</t>
        </is>
      </c>
      <c r="C64" s="29">
        <f>0.5+0.45*B71+0.45+0.5+0.45*B71</f>
        <v/>
      </c>
      <c r="D64" s="29">
        <f>0.5*(1+0.9*(B71+1))+0.5*(1+0.9*B71)</f>
        <v/>
      </c>
      <c r="E64" s="29">
        <f>IF(ABS(C64-D64)&lt;0.0001,"= YES","= NO")</f>
        <v/>
      </c>
    </row>
    <row r="65">
      <c r="A65" s="7" t="inlineStr">
        <is>
          <t>Collect</t>
        </is>
      </c>
      <c r="B65" s="9" t="inlineStr">
        <is>
          <t>1.45 + 0.9x</t>
        </is>
      </c>
      <c r="C65" s="29">
        <f>1.45+0.9*B71</f>
        <v/>
      </c>
      <c r="D65" s="29">
        <f>0.5*(1+0.9*(B71+1))+0.5*(1+0.9*B71)</f>
        <v/>
      </c>
      <c r="E65" s="29">
        <f>IF(ABS(C65-D65)&lt;0.0001,"= YES","= NO")</f>
        <v/>
      </c>
    </row>
    <row r="66">
      <c r="A66" s="7" t="inlineStr">
        <is>
          <t>Rearrange</t>
        </is>
      </c>
      <c r="B66" s="9" t="inlineStr">
        <is>
          <t>x - 0.9x = 1.45</t>
        </is>
      </c>
      <c r="C66" s="29">
        <f>B71-0.9*B71</f>
        <v/>
      </c>
      <c r="D66" s="29">
        <f>1.45</f>
        <v/>
      </c>
      <c r="E66" s="29">
        <f>IF(ABS(C66-D66)&lt;0.0001,"= YES","= NO")</f>
        <v/>
      </c>
    </row>
    <row r="67">
      <c r="A67" s="7" t="inlineStr">
        <is>
          <t>Factor</t>
        </is>
      </c>
      <c r="B67" s="9" t="inlineStr">
        <is>
          <t>0.1x = 1.45</t>
        </is>
      </c>
      <c r="C67" s="29">
        <f>0.1*B71</f>
        <v/>
      </c>
      <c r="D67" s="29">
        <f>1.45</f>
        <v/>
      </c>
      <c r="E67" s="29">
        <f>IF(ABS(C67-D67)&lt;0.0001,"= YES","= NO")</f>
        <v/>
      </c>
    </row>
    <row r="68">
      <c r="A68" s="7" t="inlineStr">
        <is>
          <t>Solve</t>
        </is>
      </c>
      <c r="B68" s="9" t="inlineStr">
        <is>
          <t>x = 1.45 / 0.1 = 14.5</t>
        </is>
      </c>
      <c r="C68" s="29">
        <f>B71</f>
        <v/>
      </c>
      <c r="D68" s="29">
        <f>1.45/0.1</f>
        <v/>
      </c>
      <c r="E68" s="29">
        <f>IF(ABS(C68-D68)&lt;0.0001,"= YES","= NO")</f>
        <v/>
      </c>
    </row>
    <row r="69"/>
    <row r="70">
      <c r="A70" s="2" t="inlineStr">
        <is>
          <t>Step 7: The Solution</t>
        </is>
      </c>
    </row>
    <row r="71">
      <c r="A71" s="36" t="inlineStr">
        <is>
          <t>x = V*(Warm) =</t>
        </is>
      </c>
      <c r="B71" s="39" t="n">
        <v>14.5</v>
      </c>
    </row>
    <row r="72">
      <c r="A72" s="36" t="inlineStr">
        <is>
          <t>V*(Cool) = x+1 =</t>
        </is>
      </c>
      <c r="B72" s="39">
        <f>B71+1</f>
        <v/>
      </c>
    </row>
    <row r="73">
      <c r="A73" s="36" t="inlineStr">
        <is>
          <t>V*(Overheated) =</t>
        </is>
      </c>
      <c r="B73" s="40" t="n">
        <v>0</v>
      </c>
    </row>
    <row r="74"/>
    <row r="75">
      <c r="A75" s="2" t="inlineStr">
        <is>
          <t>Step 8: Compute all Q*(s,a) from V* (formula verification)</t>
        </is>
      </c>
    </row>
    <row r="76">
      <c r="A76" s="6" t="inlineStr">
        <is>
          <t>(s, a)</t>
        </is>
      </c>
      <c r="B76" s="6" t="inlineStr">
        <is>
          <t>Q*(s,a) formula</t>
        </is>
      </c>
      <c r="C76" s="6" t="inlineStr">
        <is>
          <t>Q*(s,a) value</t>
        </is>
      </c>
      <c r="D76" s="6" t="inlineStr">
        <is>
          <t>Verify</t>
        </is>
      </c>
    </row>
    <row r="77">
      <c r="A77" s="7" t="inlineStr">
        <is>
          <t>(Cool, Slow)</t>
        </is>
      </c>
      <c r="B77" s="29">
        <f>0.5*(1+0.9*B72)+0.5*(1+0.9*B71)</f>
        <v/>
      </c>
      <c r="C77" t="n">
        <v>14.5</v>
      </c>
      <c r="D77" s="29">
        <f>IF(ABS(B77-C77)&lt;0.0001,"= YES","= NO")</f>
        <v/>
      </c>
    </row>
    <row r="78">
      <c r="A78" s="7" t="inlineStr">
        <is>
          <t>(Cool, Fast)</t>
        </is>
      </c>
      <c r="B78" s="29">
        <f>0.5*(2+0.9*B72)+0.5*(2+0.9*B71)</f>
        <v/>
      </c>
      <c r="C78" t="n">
        <v>15.5</v>
      </c>
      <c r="D78" s="29">
        <f>IF(ABS(B78-C78)&lt;0.0001,"= YES","= NO")</f>
        <v/>
      </c>
    </row>
    <row r="79">
      <c r="A79" s="7" t="inlineStr">
        <is>
          <t>(Warm, Slow)</t>
        </is>
      </c>
      <c r="B79" s="29">
        <f>0.5*(1+0.9*B72)+0.5*(1+0.9*B71)</f>
        <v/>
      </c>
      <c r="C79" t="n">
        <v>14.5</v>
      </c>
      <c r="D79" s="29">
        <f>IF(ABS(B79-C79)&lt;0.0001,"= YES","= NO")</f>
        <v/>
      </c>
    </row>
    <row r="80">
      <c r="A80" s="7" t="inlineStr">
        <is>
          <t>(Warm, Fast)</t>
        </is>
      </c>
      <c r="B80" s="29">
        <f>1*(-10+0.9*0)</f>
        <v/>
      </c>
      <c r="C80" t="n">
        <v>-10</v>
      </c>
      <c r="D80" s="29">
        <f>IF(ABS(B80-C80)&lt;0.0001,"= YES","= NO")</f>
        <v/>
      </c>
    </row>
    <row r="81"/>
    <row r="82">
      <c r="A82" s="2" t="inlineStr">
        <is>
          <t>Step 9: Verify V*(s) = max_a Q*(s,a)</t>
        </is>
      </c>
    </row>
    <row r="83">
      <c r="A83" s="6" t="inlineStr">
        <is>
          <t>State</t>
        </is>
      </c>
      <c r="B83" s="6" t="inlineStr">
        <is>
          <t>max_a Q*(s,a)</t>
        </is>
      </c>
      <c r="C83" s="6" t="inlineStr">
        <is>
          <t>V*(s)</t>
        </is>
      </c>
      <c r="D83" s="6" t="inlineStr">
        <is>
          <t>Match?</t>
        </is>
      </c>
      <c r="E83" s="6" t="inlineStr">
        <is>
          <t>Optimal Action</t>
        </is>
      </c>
    </row>
    <row r="84">
      <c r="A84" s="7" t="inlineStr">
        <is>
          <t>Cool</t>
        </is>
      </c>
      <c r="B84" s="29">
        <f>MAX(B77,B78)</f>
        <v/>
      </c>
      <c r="C84" s="29">
        <f>B72</f>
        <v/>
      </c>
      <c r="D84" s="29">
        <f>IF(ABS(B84-C84)&lt;0.0001,"= YES","= NO")</f>
        <v/>
      </c>
      <c r="E84" s="29">
        <f>IF(B78&gt;B77,"Fast","Slow")</f>
        <v/>
      </c>
    </row>
    <row r="85">
      <c r="A85" s="7" t="inlineStr">
        <is>
          <t>Warm</t>
        </is>
      </c>
      <c r="B85" s="29">
        <f>MAX(B79,B80)</f>
        <v/>
      </c>
      <c r="C85" s="29">
        <f>B71</f>
        <v/>
      </c>
      <c r="D85" s="29">
        <f>IF(ABS(B85-C85)&lt;0.0001,"= YES","= NO")</f>
        <v/>
      </c>
      <c r="E85" s="29">
        <f>IF(B80&gt;B79,"Fast","Slow")</f>
        <v/>
      </c>
    </row>
    <row r="86"/>
    <row r="87">
      <c r="A87" s="2" t="inlineStr">
        <is>
          <t>Step 10: Verify Bellman equation holds — plug V* back in</t>
        </is>
      </c>
    </row>
    <row r="88">
      <c r="A88" s="4" t="inlineStr">
        <is>
          <t>If V* is correct, then V*(s) = max_a SUM P(s'|s,a)*[R+g*V*(s')] must be satisfied exactly.</t>
        </is>
      </c>
    </row>
    <row r="89"/>
    <row r="90">
      <c r="A90" s="6" t="inlineStr">
        <is>
          <t>State</t>
        </is>
      </c>
      <c r="B90" s="6" t="inlineStr">
        <is>
          <t>LHS: V*(s)</t>
        </is>
      </c>
      <c r="C90" s="6" t="inlineStr">
        <is>
          <t>RHS: max_a SUM...</t>
        </is>
      </c>
      <c r="D90" s="6" t="inlineStr">
        <is>
          <t>LHS = RHS?</t>
        </is>
      </c>
    </row>
    <row r="91">
      <c r="A91" s="7" t="inlineStr">
        <is>
          <t>Cool</t>
        </is>
      </c>
      <c r="B91" s="29">
        <f>B72</f>
        <v/>
      </c>
      <c r="C91" s="29">
        <f>MAX(0.5*(1+0.9*B72)+0.5*(1+0.9*B71), 0.5*(2+0.9*B72)+0.5*(2+0.9*B71))</f>
        <v/>
      </c>
      <c r="D91" s="29">
        <f>IF(ABS(B91-C91)&lt;0.0001,"= YES","= NO")</f>
        <v/>
      </c>
    </row>
    <row r="92">
      <c r="A92" s="7" t="inlineStr">
        <is>
          <t>Warm</t>
        </is>
      </c>
      <c r="B92" s="29">
        <f>B71</f>
        <v/>
      </c>
      <c r="C92" s="29">
        <f>MAX(0.5*(1+0.9*B72)+0.5*(1+0.9*B71), 1*(-10+0.9*0))</f>
        <v/>
      </c>
      <c r="D92" s="29">
        <f>IF(ABS(B92-C92)&lt;0.0001,"= YES","= NO")</f>
        <v/>
      </c>
    </row>
    <row r="93">
      <c r="A93" s="41" t="inlineStr">
        <is>
          <t>Overheated</t>
        </is>
      </c>
      <c r="B93" s="42" t="n">
        <v>0</v>
      </c>
      <c r="C93" s="42" t="n">
        <v>0</v>
      </c>
      <c r="D93" s="20">
        <f>IF(ABS(B93-C93)&lt;0.0001,"= YES","= NO")</f>
        <v/>
      </c>
    </row>
    <row r="94"/>
    <row r="95">
      <c r="A95" s="2" t="inlineStr">
        <is>
          <t>Step 11: Analytical V^cautious (always slow) for comparison</t>
        </is>
      </c>
    </row>
    <row r="96">
      <c r="A96" s="4" t="inlineStr">
        <is>
          <t>Under always-slow: V(C) = V(W) = 0.5*(1+0.9*V(C)) + 0.5*(1+0.9*V(W)).  Let y = V(C) = V(W).</t>
        </is>
      </c>
    </row>
    <row r="97"/>
    <row r="98">
      <c r="A98" s="7" t="inlineStr">
        <is>
          <t>Equation:</t>
        </is>
      </c>
      <c r="B98" t="inlineStr">
        <is>
          <t>y = 0.5*(1+0.9*y) + 0.5*(1+0.9*y)</t>
        </is>
      </c>
    </row>
    <row r="99">
      <c r="A99" s="7" t="inlineStr">
        <is>
          <t>Simplify:</t>
        </is>
      </c>
      <c r="B99" t="inlineStr">
        <is>
          <t>y = 1 + 0.9*y</t>
        </is>
      </c>
    </row>
    <row r="100">
      <c r="A100" s="7" t="inlineStr">
        <is>
          <t>Rearrange:</t>
        </is>
      </c>
      <c r="B100" t="inlineStr">
        <is>
          <t>y - 0.9*y = 1</t>
        </is>
      </c>
    </row>
    <row r="101">
      <c r="A101" s="7" t="inlineStr">
        <is>
          <t>Factor:</t>
        </is>
      </c>
      <c r="B101" t="inlineStr">
        <is>
          <t>0.1*y = 1</t>
        </is>
      </c>
    </row>
    <row r="102">
      <c r="A102" s="7" t="inlineStr">
        <is>
          <t>Solve:</t>
        </is>
      </c>
      <c r="B102" t="inlineStr">
        <is>
          <t>y = 10</t>
        </is>
      </c>
    </row>
    <row r="103"/>
    <row r="104">
      <c r="A104" s="36" t="inlineStr">
        <is>
          <t>V^cautious(Cool) = V^cautious(Warm) =</t>
        </is>
      </c>
      <c r="B104" s="43" t="n">
        <v>10</v>
      </c>
    </row>
    <row r="105">
      <c r="A105" s="7" t="inlineStr">
        <is>
          <t>Verify:</t>
        </is>
      </c>
      <c r="B105" s="29">
        <f>0.5*(1+0.9*B104)+0.5*(1+0.9*B104)</f>
        <v/>
      </c>
      <c r="C105" s="29">
        <f>IF(ABS(B105-B104)&lt;0.0001,"= YES","= NO")</f>
        <v/>
      </c>
    </row>
    <row r="106"/>
    <row r="107">
      <c r="A107" s="2" t="inlineStr">
        <is>
          <t>Summary: Analytical vs DP-converged values</t>
        </is>
      </c>
    </row>
    <row r="108">
      <c r="A108" s="6" t="inlineStr">
        <is>
          <t>Value</t>
        </is>
      </c>
      <c r="B108" s="6" t="inlineStr">
        <is>
          <t>Analytical</t>
        </is>
      </c>
      <c r="C108" s="6" t="inlineStr">
        <is>
          <t>DP (50 sweeps)</t>
        </is>
      </c>
      <c r="D108" s="6" t="inlineStr">
        <is>
          <t>Error</t>
        </is>
      </c>
    </row>
    <row r="109">
      <c r="A109" s="7" t="inlineStr">
        <is>
          <t>V*(Cool)</t>
        </is>
      </c>
      <c r="B109" s="29">
        <f>B72</f>
        <v/>
      </c>
      <c r="C109" s="29">
        <f>'DP-VI'!D58</f>
        <v/>
      </c>
      <c r="D109" s="29">
        <f>ABS(B109-C109)</f>
        <v/>
      </c>
    </row>
    <row r="110">
      <c r="A110" s="7" t="inlineStr">
        <is>
          <t>V*(Warm)</t>
        </is>
      </c>
      <c r="B110" s="29">
        <f>B71</f>
        <v/>
      </c>
      <c r="C110" s="29">
        <f>'DP-VI'!G58</f>
        <v/>
      </c>
      <c r="D110" s="29">
        <f>ABS(B110-C110)</f>
        <v/>
      </c>
    </row>
    <row r="111">
      <c r="A111" s="7" t="inlineStr">
        <is>
          <t>V^caut(Cool)</t>
        </is>
      </c>
      <c r="B111" s="29">
        <f>B104</f>
        <v/>
      </c>
      <c r="C111" s="29">
        <f>'DP-Eval'!B59</f>
        <v/>
      </c>
      <c r="D111" s="29">
        <f>ABS(B111-C111)</f>
        <v/>
      </c>
    </row>
    <row r="112">
      <c r="A112" s="7" t="inlineStr">
        <is>
          <t>V^caut(Warm)</t>
        </is>
      </c>
      <c r="B112" s="29">
        <f>B104</f>
        <v/>
      </c>
      <c r="C112" s="29">
        <f>'DP-Eval'!C59</f>
        <v/>
      </c>
      <c r="D112" s="29">
        <f>ABS(B112-C112)</f>
        <v/>
      </c>
    </row>
  </sheetData>
  <mergeCells count="29">
    <mergeCell ref="A17:G17"/>
    <mergeCell ref="A5:G5"/>
    <mergeCell ref="A4:G4"/>
    <mergeCell ref="B57:G57"/>
    <mergeCell ref="A38:G38"/>
    <mergeCell ref="A96:G96"/>
    <mergeCell ref="A52:G52"/>
    <mergeCell ref="A28:G28"/>
    <mergeCell ref="A40:G40"/>
    <mergeCell ref="A39:G39"/>
    <mergeCell ref="B100:E100"/>
    <mergeCell ref="A48:G48"/>
    <mergeCell ref="A49:G49"/>
    <mergeCell ref="A45:G45"/>
    <mergeCell ref="B55:G55"/>
    <mergeCell ref="B102:E102"/>
    <mergeCell ref="A1:G1"/>
    <mergeCell ref="A88:G88"/>
    <mergeCell ref="A6:G6"/>
    <mergeCell ref="A16:G16"/>
    <mergeCell ref="B101:E101"/>
    <mergeCell ref="B98:E98"/>
    <mergeCell ref="A46:G46"/>
    <mergeCell ref="B54:G54"/>
    <mergeCell ref="A27:G27"/>
    <mergeCell ref="B56:G56"/>
    <mergeCell ref="B99:E99"/>
    <mergeCell ref="A47:G47"/>
    <mergeCell ref="A42:G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58" customWidth="1" min="1" max="1"/>
    <col width="33" customWidth="1" min="2" max="2"/>
    <col width="30" customWidth="1" min="3" max="3"/>
    <col width="41" customWidth="1" min="4" max="4"/>
    <col width="18" customWidth="1" min="5" max="5"/>
    <col width="15" customWidth="1" min="6" max="6"/>
  </cols>
  <sheetData>
    <row r="1">
      <c r="A1" s="1" t="inlineStr">
        <is>
          <t>V, V*, Q, Q* — Complete Summary + Policy Iteration</t>
        </is>
      </c>
    </row>
    <row r="2">
      <c r="A2" s="4" t="inlineStr">
        <is>
          <t>All values are formulas referencing DP-Eval / DP-VI converged results, or computing Q from V via Bellman.</t>
        </is>
      </c>
    </row>
    <row r="3"/>
    <row r="4">
      <c r="A4" s="2" t="inlineStr">
        <is>
          <t>Section 1: State Value Functions</t>
        </is>
      </c>
    </row>
    <row r="5">
      <c r="A5" s="6" t="inlineStr">
        <is>
          <t>State</t>
        </is>
      </c>
      <c r="B5" s="6" t="inlineStr">
        <is>
          <t>V^cautious ✱</t>
        </is>
      </c>
      <c r="C5" s="6" t="inlineStr">
        <is>
          <t>V^optimal ✱</t>
        </is>
      </c>
      <c r="D5" s="6" t="inlineStr">
        <is>
          <t>V^aggressive ✱</t>
        </is>
      </c>
      <c r="E5" s="6" t="inlineStr">
        <is>
          <t>V^worst ✱</t>
        </is>
      </c>
      <c r="F5" s="6" t="inlineStr">
        <is>
          <t>V* ✱</t>
        </is>
      </c>
    </row>
    <row r="6">
      <c r="A6" s="7" t="inlineStr">
        <is>
          <t>Cool</t>
        </is>
      </c>
      <c r="B6" s="29">
        <f>'DP-Eval'!B59</f>
        <v/>
      </c>
      <c r="C6" s="29">
        <f>'DP-Eval'!B116</f>
        <v/>
      </c>
      <c r="D6" s="29">
        <f>'DP-Eval'!B173</f>
        <v/>
      </c>
      <c r="E6" s="29">
        <f>'DP-Eval'!B230</f>
        <v/>
      </c>
      <c r="F6" s="29">
        <f>'DP-VI'!D58</f>
        <v/>
      </c>
    </row>
    <row r="7">
      <c r="A7" s="7" t="inlineStr">
        <is>
          <t>Warm</t>
        </is>
      </c>
      <c r="B7" s="29">
        <f>'DP-Eval'!C59</f>
        <v/>
      </c>
      <c r="C7" s="29">
        <f>'DP-Eval'!C116</f>
        <v/>
      </c>
      <c r="D7" s="29">
        <f>'DP-Eval'!C173</f>
        <v/>
      </c>
      <c r="E7" s="29">
        <f>'DP-Eval'!C230</f>
        <v/>
      </c>
      <c r="F7" s="29">
        <f>'DP-VI'!G58</f>
        <v/>
      </c>
    </row>
    <row r="8">
      <c r="A8" s="41" t="inlineStr">
        <is>
          <t>Overheated</t>
        </is>
      </c>
      <c r="B8" s="20" t="n">
        <v>0</v>
      </c>
      <c r="C8" s="20" t="n">
        <v>0</v>
      </c>
      <c r="D8" s="20" t="n">
        <v>0</v>
      </c>
      <c r="E8" s="20" t="n">
        <v>0</v>
      </c>
      <c r="F8" s="20" t="n">
        <v>0</v>
      </c>
    </row>
    <row r="9"/>
    <row r="10">
      <c r="A10" s="2" t="inlineStr">
        <is>
          <t>Section 2a: Q^cautious(s,a)</t>
        </is>
      </c>
    </row>
    <row r="11">
      <c r="A11" s="4" t="inlineStr">
        <is>
          <t>Q(s,a) = Σ P(s'|s,a)·[R(s,a,s') + γ·cautious(s')]</t>
        </is>
      </c>
    </row>
    <row r="12">
      <c r="A12" s="6" t="inlineStr">
        <is>
          <t>(s, a)</t>
        </is>
      </c>
      <c r="B12" s="6" t="inlineStr">
        <is>
          <t>Q^cautious(s,a) ✱</t>
        </is>
      </c>
    </row>
    <row r="13">
      <c r="A13" s="9" t="inlineStr">
        <is>
          <t>(Cool, Slow)</t>
        </is>
      </c>
      <c r="B13" s="29">
        <f>0.5*(1+0.9*B6)+0.5*(1+0.9*B7)</f>
        <v/>
      </c>
    </row>
    <row r="14">
      <c r="A14" s="9" t="inlineStr">
        <is>
          <t>(Cool, Fast)</t>
        </is>
      </c>
      <c r="B14" s="29">
        <f>0.5*(2+0.9*B6)+0.5*(2+0.9*B7)</f>
        <v/>
      </c>
    </row>
    <row r="15">
      <c r="A15" s="9" t="inlineStr">
        <is>
          <t>(Warm, Slow)</t>
        </is>
      </c>
      <c r="B15" s="29">
        <f>0.5*(1+0.9*B6)+0.5*(1+0.9*B7)</f>
        <v/>
      </c>
    </row>
    <row r="16">
      <c r="A16" s="9" t="inlineStr">
        <is>
          <t>(Warm, Fast)</t>
        </is>
      </c>
      <c r="B16" s="29">
        <f>1*(-10+0.9*0)</f>
        <v/>
      </c>
    </row>
    <row r="17"/>
    <row r="18">
      <c r="A18" s="31" t="inlineStr">
        <is>
          <t>Section 2b: Q^optimal(s,a)</t>
        </is>
      </c>
    </row>
    <row r="19">
      <c r="A19" s="4" t="inlineStr">
        <is>
          <t>Q(s,a) = Σ P(s'|s,a)·[R(s,a,s') + γ·optimal(s')]</t>
        </is>
      </c>
    </row>
    <row r="20">
      <c r="A20" s="6" t="inlineStr">
        <is>
          <t>(s, a)</t>
        </is>
      </c>
      <c r="B20" s="6" t="inlineStr">
        <is>
          <t>Q^optimal(s,a) ✱</t>
        </is>
      </c>
    </row>
    <row r="21">
      <c r="A21" s="9" t="inlineStr">
        <is>
          <t>(Cool, Slow)</t>
        </is>
      </c>
      <c r="B21" s="29">
        <f>0.5*(1+0.9*C6)+0.5*(1+0.9*C7)</f>
        <v/>
      </c>
    </row>
    <row r="22">
      <c r="A22" s="9" t="inlineStr">
        <is>
          <t>(Cool, Fast)</t>
        </is>
      </c>
      <c r="B22" s="29">
        <f>0.5*(2+0.9*C6)+0.5*(2+0.9*C7)</f>
        <v/>
      </c>
    </row>
    <row r="23">
      <c r="A23" s="9" t="inlineStr">
        <is>
          <t>(Warm, Slow)</t>
        </is>
      </c>
      <c r="B23" s="29">
        <f>0.5*(1+0.9*C6)+0.5*(1+0.9*C7)</f>
        <v/>
      </c>
    </row>
    <row r="24">
      <c r="A24" s="9" t="inlineStr">
        <is>
          <t>(Warm, Fast)</t>
        </is>
      </c>
      <c r="B24" s="29">
        <f>1*(-10+0.9*0)</f>
        <v/>
      </c>
    </row>
    <row r="25"/>
    <row r="26">
      <c r="A26" s="32" t="inlineStr">
        <is>
          <t>Section 2c: Q^aggressive(s,a)</t>
        </is>
      </c>
    </row>
    <row r="27">
      <c r="A27" s="4" t="inlineStr">
        <is>
          <t>Q(s,a) = Σ P(s'|s,a)·[R(s,a,s') + γ·aggressive(s')]</t>
        </is>
      </c>
    </row>
    <row r="28">
      <c r="A28" s="6" t="inlineStr">
        <is>
          <t>(s, a)</t>
        </is>
      </c>
      <c r="B28" s="6" t="inlineStr">
        <is>
          <t>Q^aggressive(s,a) ✱</t>
        </is>
      </c>
    </row>
    <row r="29">
      <c r="A29" s="9" t="inlineStr">
        <is>
          <t>(Cool, Slow)</t>
        </is>
      </c>
      <c r="B29" s="29">
        <f>0.5*(1+0.9*D6)+0.5*(1+0.9*D7)</f>
        <v/>
      </c>
    </row>
    <row r="30">
      <c r="A30" s="9" t="inlineStr">
        <is>
          <t>(Cool, Fast)</t>
        </is>
      </c>
      <c r="B30" s="29">
        <f>0.5*(2+0.9*D6)+0.5*(2+0.9*D7)</f>
        <v/>
      </c>
    </row>
    <row r="31">
      <c r="A31" s="9" t="inlineStr">
        <is>
          <t>(Warm, Slow)</t>
        </is>
      </c>
      <c r="B31" s="29">
        <f>0.5*(1+0.9*D6)+0.5*(1+0.9*D7)</f>
        <v/>
      </c>
    </row>
    <row r="32">
      <c r="A32" s="9" t="inlineStr">
        <is>
          <t>(Warm, Fast)</t>
        </is>
      </c>
      <c r="B32" s="29">
        <f>1*(-10+0.9*0)</f>
        <v/>
      </c>
    </row>
    <row r="33"/>
    <row r="34">
      <c r="A34" s="33" t="inlineStr">
        <is>
          <t>Section 2d: Q^worst(s,a)</t>
        </is>
      </c>
    </row>
    <row r="35">
      <c r="A35" s="4" t="inlineStr">
        <is>
          <t>Q(s,a) = Σ P(s'|s,a)·[R(s,a,s') + γ·worst(s')]</t>
        </is>
      </c>
    </row>
    <row r="36">
      <c r="A36" s="6" t="inlineStr">
        <is>
          <t>(s, a)</t>
        </is>
      </c>
      <c r="B36" s="6" t="inlineStr">
        <is>
          <t>Q^worst(s,a) ✱</t>
        </is>
      </c>
    </row>
    <row r="37">
      <c r="A37" s="9" t="inlineStr">
        <is>
          <t>(Cool, Slow)</t>
        </is>
      </c>
      <c r="B37" s="29">
        <f>0.5*(1+0.9*E6)+0.5*(1+0.9*E7)</f>
        <v/>
      </c>
    </row>
    <row r="38">
      <c r="A38" s="9" t="inlineStr">
        <is>
          <t>(Cool, Fast)</t>
        </is>
      </c>
      <c r="B38" s="29">
        <f>0.5*(2+0.9*E6)+0.5*(2+0.9*E7)</f>
        <v/>
      </c>
    </row>
    <row r="39">
      <c r="A39" s="9" t="inlineStr">
        <is>
          <t>(Warm, Slow)</t>
        </is>
      </c>
      <c r="B39" s="29">
        <f>0.5*(1+0.9*E6)+0.5*(1+0.9*E7)</f>
        <v/>
      </c>
    </row>
    <row r="40">
      <c r="A40" s="9" t="inlineStr">
        <is>
          <t>(Warm, Fast)</t>
        </is>
      </c>
      <c r="B40" s="29">
        <f>1*(-10+0.9*0)</f>
        <v/>
      </c>
    </row>
    <row r="41"/>
    <row r="42">
      <c r="A42" s="44" t="inlineStr">
        <is>
          <t>Section 2e: Q*(s,a) from V*</t>
        </is>
      </c>
    </row>
    <row r="43">
      <c r="A43" s="4" t="inlineStr">
        <is>
          <t>Q(s,a) = Σ P(s'|s,a)·[R(s,a,s') + γ·*(s')]</t>
        </is>
      </c>
    </row>
    <row r="44">
      <c r="A44" s="6" t="inlineStr">
        <is>
          <t>(s, a)</t>
        </is>
      </c>
      <c r="B44" s="6" t="inlineStr">
        <is>
          <t>Q^*(s,a) ✱</t>
        </is>
      </c>
    </row>
    <row r="45">
      <c r="A45" s="9" t="inlineStr">
        <is>
          <t>(Cool, Slow)</t>
        </is>
      </c>
      <c r="B45" s="29">
        <f>0.5*(1+0.9*F6)+0.5*(1+0.9*F7)</f>
        <v/>
      </c>
    </row>
    <row r="46">
      <c r="A46" s="9" t="inlineStr">
        <is>
          <t>(Cool, Fast)</t>
        </is>
      </c>
      <c r="B46" s="29">
        <f>0.5*(2+0.9*F6)+0.5*(2+0.9*F7)</f>
        <v/>
      </c>
    </row>
    <row r="47">
      <c r="A47" s="9" t="inlineStr">
        <is>
          <t>(Warm, Slow)</t>
        </is>
      </c>
      <c r="B47" s="29">
        <f>0.5*(1+0.9*F6)+0.5*(1+0.9*F7)</f>
        <v/>
      </c>
    </row>
    <row r="48">
      <c r="A48" s="9" t="inlineStr">
        <is>
          <t>(Warm, Fast)</t>
        </is>
      </c>
      <c r="B48" s="29">
        <f>1*(-10+0.9*0)</f>
        <v/>
      </c>
    </row>
    <row r="49"/>
    <row r="50">
      <c r="A50" s="2" t="inlineStr">
        <is>
          <t>Section 3: Verify V*(s) = max_a Q*(s,a)</t>
        </is>
      </c>
    </row>
    <row r="51">
      <c r="A51" s="6" t="inlineStr">
        <is>
          <t>State</t>
        </is>
      </c>
      <c r="B51" s="6" t="inlineStr">
        <is>
          <t>max_a Q*(s,a) ✱</t>
        </is>
      </c>
      <c r="C51" s="6" t="inlineStr">
        <is>
          <t>V*(s) ✱</t>
        </is>
      </c>
      <c r="D51" s="6" t="inlineStr">
        <is>
          <t>Match? ✱</t>
        </is>
      </c>
    </row>
    <row r="52">
      <c r="A52" s="7" t="inlineStr">
        <is>
          <t>Cool</t>
        </is>
      </c>
      <c r="B52" s="29">
        <f>MAX(B45,B46)</f>
        <v/>
      </c>
      <c r="C52" s="29">
        <f>F6</f>
        <v/>
      </c>
      <c r="D52" s="29">
        <f>IF(ABS(B52-C52)&lt;0.01,"✓ Yes","✗ No")</f>
        <v/>
      </c>
    </row>
    <row r="53">
      <c r="A53" s="7" t="inlineStr">
        <is>
          <t>Warm</t>
        </is>
      </c>
      <c r="B53" s="29">
        <f>MAX(B47,B48)</f>
        <v/>
      </c>
      <c r="C53" s="29">
        <f>F7</f>
        <v/>
      </c>
      <c r="D53" s="29">
        <f>IF(ABS(B53-C53)&lt;0.01,"✓ Yes","✗ No")</f>
        <v/>
      </c>
    </row>
    <row r="54"/>
    <row r="55">
      <c r="A55" s="2" t="inlineStr">
        <is>
          <t>Section 4: Policy Iteration Demonstration</t>
        </is>
      </c>
    </row>
    <row r="56">
      <c r="A56" s="4" t="inlineStr">
        <is>
          <t>Step 1: Evaluate Cautious → Q^caut.  Step 2: Improve π(s)=argmax Q^caut → Optimal.  Step 3: Evaluate Optimal → Q^opt.  Step 4: argmax → same Optimal = converged.</t>
        </is>
      </c>
    </row>
    <row r="57">
      <c r="A57" s="6" t="inlineStr">
        <is>
          <t>State</t>
        </is>
      </c>
      <c r="B57" s="6" t="inlineStr">
        <is>
          <t>argmax Q^caut ✱</t>
        </is>
      </c>
      <c r="C57" s="6" t="inlineStr">
        <is>
          <t>argmax Q^opt ✱</t>
        </is>
      </c>
      <c r="D57" s="6" t="inlineStr">
        <is>
          <t>Converged? ✱</t>
        </is>
      </c>
    </row>
    <row r="58">
      <c r="A58" s="7" t="inlineStr">
        <is>
          <t>Cool</t>
        </is>
      </c>
      <c r="B58" s="29">
        <f>IF(B14&gt;=B13,"Fast","Slow")</f>
        <v/>
      </c>
      <c r="C58" s="29">
        <f>IF(B22&gt;=B21,"Fast","Slow")</f>
        <v/>
      </c>
      <c r="D58" s="29">
        <f>IF(B58=C58,"✓ Converged","✗ Changed")</f>
        <v/>
      </c>
    </row>
    <row r="59">
      <c r="A59" s="7" t="inlineStr">
        <is>
          <t>Warm</t>
        </is>
      </c>
      <c r="B59" s="29">
        <f>IF(B16&gt;=B15,"Fast","Slow")</f>
        <v/>
      </c>
      <c r="C59" s="29">
        <f>IF(B24&gt;=B23,"Fast","Slow")</f>
        <v/>
      </c>
      <c r="D59" s="29">
        <f>IF(B59=C59,"✓ Converged","✗ Changed")</f>
        <v/>
      </c>
    </row>
    <row r="60"/>
    <row r="61">
      <c r="A61" s="2" t="inlineStr">
        <is>
          <t>Section 5: Optimal Policy π*(s) = argmax_a Q*(s,a)</t>
        </is>
      </c>
    </row>
    <row r="62">
      <c r="A62" s="6" t="inlineStr">
        <is>
          <t>State</t>
        </is>
      </c>
      <c r="B62" s="6" t="inlineStr">
        <is>
          <t>π*(s) ✱</t>
        </is>
      </c>
      <c r="C62" s="6" t="inlineStr">
        <is>
          <t>Q*(s, π*(s)) ✱</t>
        </is>
      </c>
    </row>
    <row r="63">
      <c r="A63" s="7" t="inlineStr">
        <is>
          <t>Cool</t>
        </is>
      </c>
      <c r="B63" s="29">
        <f>IF(B46&gt;=B45,"Fast","Slow")</f>
        <v/>
      </c>
      <c r="C63" s="29">
        <f>MAX(B45,B46)</f>
        <v/>
      </c>
    </row>
    <row r="64">
      <c r="A64" s="7" t="inlineStr">
        <is>
          <t>Warm</t>
        </is>
      </c>
      <c r="B64" s="29">
        <f>IF(B48&gt;=B47,"Fast","Slow")</f>
        <v/>
      </c>
      <c r="C64" s="29">
        <f>MAX(B47,B48)</f>
        <v/>
      </c>
    </row>
    <row r="65">
      <c r="A65" s="41" t="inlineStr">
        <is>
          <t>Overheated</t>
        </is>
      </c>
      <c r="B65" s="20" t="inlineStr">
        <is>
          <t>— (terminal)</t>
        </is>
      </c>
      <c r="C65" s="20" t="n">
        <v>0</v>
      </c>
    </row>
  </sheetData>
  <mergeCells count="8">
    <mergeCell ref="A2:F2"/>
    <mergeCell ref="A27:D27"/>
    <mergeCell ref="A35:D35"/>
    <mergeCell ref="A1:F1"/>
    <mergeCell ref="A43:D43"/>
    <mergeCell ref="A56:F56"/>
    <mergeCell ref="A19:D19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s="1" t="inlineStr">
        <is>
          <t>Monte Carlo — Episodes with Return-to-Go</t>
        </is>
      </c>
    </row>
    <row r="2">
      <c r="A2" s="4" t="inlineStr">
        <is>
          <t>NOTE: t = time step within an episode (one single transition s→s').  Unlike DP's k (full sweep over all states), t advances one step at a time.</t>
        </is>
      </c>
    </row>
    <row r="3">
      <c r="A3" s="4" t="inlineStr">
        <is>
          <t>F=0.9^A (discount).  G_T=E_T (last step r).  G_t=E_t+0.9·G_{t+1} (backward recursion).</t>
        </is>
      </c>
    </row>
    <row r="4"/>
    <row r="5">
      <c r="A5" s="45" t="inlineStr">
        <is>
          <t>Episode 1</t>
        </is>
      </c>
      <c r="B5" s="46" t="n"/>
      <c r="C5" s="46" t="n"/>
      <c r="D5" s="46" t="n"/>
      <c r="E5" s="46" t="n"/>
      <c r="F5" s="46" t="n"/>
      <c r="G5" s="46" t="n"/>
    </row>
    <row r="6">
      <c r="A6" s="6" t="inlineStr">
        <is>
          <t>Step (t)</t>
        </is>
      </c>
      <c r="B6" s="6" t="inlineStr">
        <is>
          <t>s</t>
        </is>
      </c>
      <c r="C6" s="6" t="inlineStr">
        <is>
          <t>a</t>
        </is>
      </c>
      <c r="D6" s="6" t="inlineStr">
        <is>
          <t>s'</t>
        </is>
      </c>
      <c r="E6" s="6" t="inlineStr">
        <is>
          <t>r</t>
        </is>
      </c>
      <c r="F6" s="6" t="inlineStr">
        <is>
          <t>γ^t ✱</t>
        </is>
      </c>
      <c r="G6" s="6" t="inlineStr">
        <is>
          <t>G_t ✱</t>
        </is>
      </c>
    </row>
    <row r="7">
      <c r="A7" s="9" t="n">
        <v>0</v>
      </c>
      <c r="B7" s="9" t="inlineStr">
        <is>
          <t>Cool</t>
        </is>
      </c>
      <c r="C7" s="9" t="inlineStr">
        <is>
          <t>Fast</t>
        </is>
      </c>
      <c r="D7" s="9" t="inlineStr">
        <is>
          <t>Cool</t>
        </is>
      </c>
      <c r="E7" s="9" t="n">
        <v>2</v>
      </c>
      <c r="F7" s="29">
        <f>0.9^A7</f>
        <v/>
      </c>
      <c r="G7" s="29">
        <f>E7+0.9*G8</f>
        <v/>
      </c>
    </row>
    <row r="8">
      <c r="A8" s="9" t="n">
        <v>1</v>
      </c>
      <c r="B8" s="9" t="inlineStr">
        <is>
          <t>Cool</t>
        </is>
      </c>
      <c r="C8" s="9" t="inlineStr">
        <is>
          <t>Fast</t>
        </is>
      </c>
      <c r="D8" s="9" t="inlineStr">
        <is>
          <t>Cool</t>
        </is>
      </c>
      <c r="E8" s="9" t="n">
        <v>2</v>
      </c>
      <c r="F8" s="29">
        <f>0.9^A8</f>
        <v/>
      </c>
      <c r="G8" s="29">
        <f>E8+0.9*G9</f>
        <v/>
      </c>
    </row>
    <row r="9">
      <c r="A9" s="9" t="n">
        <v>2</v>
      </c>
      <c r="B9" s="9" t="inlineStr">
        <is>
          <t>Cool</t>
        </is>
      </c>
      <c r="C9" s="9" t="inlineStr">
        <is>
          <t>Fast</t>
        </is>
      </c>
      <c r="D9" s="9" t="inlineStr">
        <is>
          <t>Cool</t>
        </is>
      </c>
      <c r="E9" s="9" t="n">
        <v>2</v>
      </c>
      <c r="F9" s="29">
        <f>0.9^A9</f>
        <v/>
      </c>
      <c r="G9" s="29">
        <f>E9+0.9*G10</f>
        <v/>
      </c>
    </row>
    <row r="10">
      <c r="A10" s="9" t="n">
        <v>3</v>
      </c>
      <c r="B10" s="9" t="inlineStr">
        <is>
          <t>Cool</t>
        </is>
      </c>
      <c r="C10" s="9" t="inlineStr">
        <is>
          <t>Fast</t>
        </is>
      </c>
      <c r="D10" s="9" t="inlineStr">
        <is>
          <t>Cool</t>
        </is>
      </c>
      <c r="E10" s="9" t="n">
        <v>2</v>
      </c>
      <c r="F10" s="29">
        <f>0.9^A10</f>
        <v/>
      </c>
      <c r="G10" s="29">
        <f>E10+0.9*G11</f>
        <v/>
      </c>
    </row>
    <row r="11">
      <c r="A11" s="9" t="n">
        <v>4</v>
      </c>
      <c r="B11" s="9" t="inlineStr">
        <is>
          <t>Cool</t>
        </is>
      </c>
      <c r="C11" s="9" t="inlineStr">
        <is>
          <t>Fast</t>
        </is>
      </c>
      <c r="D11" s="9" t="inlineStr">
        <is>
          <t>Cool</t>
        </is>
      </c>
      <c r="E11" s="9" t="n">
        <v>2</v>
      </c>
      <c r="F11" s="29">
        <f>0.9^A11</f>
        <v/>
      </c>
      <c r="G11" s="29">
        <f>E11+0.9*G12</f>
        <v/>
      </c>
    </row>
    <row r="12">
      <c r="A12" s="9" t="n">
        <v>5</v>
      </c>
      <c r="B12" s="9" t="inlineStr">
        <is>
          <t>Cool</t>
        </is>
      </c>
      <c r="C12" s="9" t="inlineStr">
        <is>
          <t>Fast</t>
        </is>
      </c>
      <c r="D12" s="9" t="inlineStr">
        <is>
          <t>Cool</t>
        </is>
      </c>
      <c r="E12" s="9" t="n">
        <v>2</v>
      </c>
      <c r="F12" s="29">
        <f>0.9^A12</f>
        <v/>
      </c>
      <c r="G12" s="29">
        <f>E12+0.9*G13</f>
        <v/>
      </c>
    </row>
    <row r="13">
      <c r="A13" s="9" t="n">
        <v>6</v>
      </c>
      <c r="B13" s="9" t="inlineStr">
        <is>
          <t>Cool</t>
        </is>
      </c>
      <c r="C13" s="9" t="inlineStr">
        <is>
          <t>Fast</t>
        </is>
      </c>
      <c r="D13" s="9" t="inlineStr">
        <is>
          <t>Cool</t>
        </is>
      </c>
      <c r="E13" s="9" t="n">
        <v>2</v>
      </c>
      <c r="F13" s="29">
        <f>0.9^A13</f>
        <v/>
      </c>
      <c r="G13" s="29">
        <f>E13+0.9*G14</f>
        <v/>
      </c>
    </row>
    <row r="14">
      <c r="A14" s="9" t="n">
        <v>7</v>
      </c>
      <c r="B14" s="9" t="inlineStr">
        <is>
          <t>Cool</t>
        </is>
      </c>
      <c r="C14" s="9" t="inlineStr">
        <is>
          <t>Fast</t>
        </is>
      </c>
      <c r="D14" s="9" t="inlineStr">
        <is>
          <t>Warm</t>
        </is>
      </c>
      <c r="E14" s="9" t="n">
        <v>2</v>
      </c>
      <c r="F14" s="29">
        <f>0.9^A14</f>
        <v/>
      </c>
      <c r="G14" s="29">
        <f>E14+0.9*G15</f>
        <v/>
      </c>
    </row>
    <row r="15">
      <c r="A15" s="9" t="n">
        <v>8</v>
      </c>
      <c r="B15" s="9" t="inlineStr">
        <is>
          <t>Warm</t>
        </is>
      </c>
      <c r="C15" s="9" t="inlineStr">
        <is>
          <t>Slow</t>
        </is>
      </c>
      <c r="D15" s="9" t="inlineStr">
        <is>
          <t>Warm</t>
        </is>
      </c>
      <c r="E15" s="9" t="n">
        <v>1</v>
      </c>
      <c r="F15" s="29">
        <f>0.9^A15</f>
        <v/>
      </c>
      <c r="G15" s="29">
        <f>E15+0.9*G16</f>
        <v/>
      </c>
    </row>
    <row r="16">
      <c r="A16" s="9" t="n">
        <v>9</v>
      </c>
      <c r="B16" s="9" t="inlineStr">
        <is>
          <t>Warm</t>
        </is>
      </c>
      <c r="C16" s="9" t="inlineStr">
        <is>
          <t>Slow</t>
        </is>
      </c>
      <c r="D16" s="9" t="inlineStr">
        <is>
          <t>Cool</t>
        </is>
      </c>
      <c r="E16" s="9" t="n">
        <v>1</v>
      </c>
      <c r="F16" s="29">
        <f>0.9^A16</f>
        <v/>
      </c>
      <c r="G16" s="29">
        <f>E16+0.9*G17</f>
        <v/>
      </c>
    </row>
    <row r="17">
      <c r="A17" s="9" t="n">
        <v>10</v>
      </c>
      <c r="B17" s="9" t="inlineStr">
        <is>
          <t>Cool</t>
        </is>
      </c>
      <c r="C17" s="9" t="inlineStr">
        <is>
          <t>Fast</t>
        </is>
      </c>
      <c r="D17" s="9" t="inlineStr">
        <is>
          <t>Cool</t>
        </is>
      </c>
      <c r="E17" s="9" t="n">
        <v>2</v>
      </c>
      <c r="F17" s="29">
        <f>0.9^A17</f>
        <v/>
      </c>
      <c r="G17" s="29">
        <f>E17+0.9*G18</f>
        <v/>
      </c>
    </row>
    <row r="18">
      <c r="A18" s="9" t="n">
        <v>11</v>
      </c>
      <c r="B18" s="9" t="inlineStr">
        <is>
          <t>Cool</t>
        </is>
      </c>
      <c r="C18" s="9" t="inlineStr">
        <is>
          <t>Fast</t>
        </is>
      </c>
      <c r="D18" s="9" t="inlineStr">
        <is>
          <t>Warm</t>
        </is>
      </c>
      <c r="E18" s="9" t="n">
        <v>2</v>
      </c>
      <c r="F18" s="29">
        <f>0.9^A18</f>
        <v/>
      </c>
      <c r="G18" s="29">
        <f>E18+0.9*G19</f>
        <v/>
      </c>
    </row>
    <row r="19">
      <c r="A19" s="9" t="n">
        <v>12</v>
      </c>
      <c r="B19" s="9" t="inlineStr">
        <is>
          <t>Warm</t>
        </is>
      </c>
      <c r="C19" s="9" t="inlineStr">
        <is>
          <t>Slow</t>
        </is>
      </c>
      <c r="D19" s="9" t="inlineStr">
        <is>
          <t>Cool</t>
        </is>
      </c>
      <c r="E19" s="9" t="n">
        <v>1</v>
      </c>
      <c r="F19" s="29">
        <f>0.9^A19</f>
        <v/>
      </c>
      <c r="G19" s="29">
        <f>E19+0.9*G20</f>
        <v/>
      </c>
    </row>
    <row r="20">
      <c r="A20" s="9" t="n">
        <v>13</v>
      </c>
      <c r="B20" s="9" t="inlineStr">
        <is>
          <t>Cool</t>
        </is>
      </c>
      <c r="C20" s="9" t="inlineStr">
        <is>
          <t>Slow</t>
        </is>
      </c>
      <c r="D20" s="9" t="inlineStr">
        <is>
          <t>Warm</t>
        </is>
      </c>
      <c r="E20" s="9" t="n">
        <v>1</v>
      </c>
      <c r="F20" s="29">
        <f>0.9^A20</f>
        <v/>
      </c>
      <c r="G20" s="29">
        <f>E20+0.9*G21</f>
        <v/>
      </c>
    </row>
    <row r="21">
      <c r="A21" s="9" t="n">
        <v>14</v>
      </c>
      <c r="B21" s="9" t="inlineStr">
        <is>
          <t>Warm</t>
        </is>
      </c>
      <c r="C21" s="9" t="inlineStr">
        <is>
          <t>Slow</t>
        </is>
      </c>
      <c r="D21" s="9" t="inlineStr">
        <is>
          <t>Warm</t>
        </is>
      </c>
      <c r="E21" s="9" t="n">
        <v>1</v>
      </c>
      <c r="F21" s="29">
        <f>0.9^A21</f>
        <v/>
      </c>
      <c r="G21" s="29">
        <f>E21+0.9*G22</f>
        <v/>
      </c>
    </row>
    <row r="22">
      <c r="A22" s="9" t="n">
        <v>15</v>
      </c>
      <c r="B22" s="9" t="inlineStr">
        <is>
          <t>Warm</t>
        </is>
      </c>
      <c r="C22" s="9" t="inlineStr">
        <is>
          <t>Slow</t>
        </is>
      </c>
      <c r="D22" s="9" t="inlineStr">
        <is>
          <t>Warm</t>
        </is>
      </c>
      <c r="E22" s="9" t="n">
        <v>1</v>
      </c>
      <c r="F22" s="29">
        <f>0.9^A22</f>
        <v/>
      </c>
      <c r="G22" s="29">
        <f>E22+0.9*G23</f>
        <v/>
      </c>
    </row>
    <row r="23">
      <c r="A23" s="9" t="n">
        <v>16</v>
      </c>
      <c r="B23" s="9" t="inlineStr">
        <is>
          <t>Warm</t>
        </is>
      </c>
      <c r="C23" s="9" t="inlineStr">
        <is>
          <t>Slow</t>
        </is>
      </c>
      <c r="D23" s="9" t="inlineStr">
        <is>
          <t>Cool</t>
        </is>
      </c>
      <c r="E23" s="9" t="n">
        <v>1</v>
      </c>
      <c r="F23" s="29">
        <f>0.9^A23</f>
        <v/>
      </c>
      <c r="G23" s="29">
        <f>E23+0.9*G24</f>
        <v/>
      </c>
    </row>
    <row r="24">
      <c r="A24" s="9" t="n">
        <v>17</v>
      </c>
      <c r="B24" s="9" t="inlineStr">
        <is>
          <t>Cool</t>
        </is>
      </c>
      <c r="C24" s="9" t="inlineStr">
        <is>
          <t>Fast</t>
        </is>
      </c>
      <c r="D24" s="9" t="inlineStr">
        <is>
          <t>Cool</t>
        </is>
      </c>
      <c r="E24" s="9" t="n">
        <v>2</v>
      </c>
      <c r="F24" s="29">
        <f>0.9^A24</f>
        <v/>
      </c>
      <c r="G24" s="29">
        <f>E24+0.9*G25</f>
        <v/>
      </c>
    </row>
    <row r="25">
      <c r="A25" s="9" t="n">
        <v>18</v>
      </c>
      <c r="B25" s="9" t="inlineStr">
        <is>
          <t>Cool</t>
        </is>
      </c>
      <c r="C25" s="9" t="inlineStr">
        <is>
          <t>Slow</t>
        </is>
      </c>
      <c r="D25" s="9" t="inlineStr">
        <is>
          <t>Warm</t>
        </is>
      </c>
      <c r="E25" s="9" t="n">
        <v>1</v>
      </c>
      <c r="F25" s="29">
        <f>0.9^A25</f>
        <v/>
      </c>
      <c r="G25" s="29">
        <f>E25+0.9*G26</f>
        <v/>
      </c>
    </row>
    <row r="26">
      <c r="A26" s="9" t="n">
        <v>19</v>
      </c>
      <c r="B26" s="9" t="inlineStr">
        <is>
          <t>Warm</t>
        </is>
      </c>
      <c r="C26" s="9" t="inlineStr">
        <is>
          <t>Slow</t>
        </is>
      </c>
      <c r="D26" s="9" t="inlineStr">
        <is>
          <t>Warm</t>
        </is>
      </c>
      <c r="E26" s="9" t="n">
        <v>1</v>
      </c>
      <c r="F26" s="29">
        <f>0.9^A26</f>
        <v/>
      </c>
      <c r="G26" s="29">
        <f>E26</f>
        <v/>
      </c>
    </row>
    <row r="27">
      <c r="A27" s="47" t="inlineStr">
        <is>
          <t>G₀ =</t>
        </is>
      </c>
      <c r="B27" s="29">
        <f>G7</f>
        <v/>
      </c>
    </row>
    <row r="28"/>
    <row r="29">
      <c r="A29" s="45" t="inlineStr">
        <is>
          <t>Episode 2</t>
        </is>
      </c>
      <c r="B29" s="46" t="n"/>
      <c r="C29" s="46" t="n"/>
      <c r="D29" s="46" t="n"/>
      <c r="E29" s="46" t="n"/>
      <c r="F29" s="46" t="n"/>
      <c r="G29" s="46" t="n"/>
    </row>
    <row r="30">
      <c r="A30" s="6" t="inlineStr">
        <is>
          <t>Step (t)</t>
        </is>
      </c>
      <c r="B30" s="6" t="inlineStr">
        <is>
          <t>s</t>
        </is>
      </c>
      <c r="C30" s="6" t="inlineStr">
        <is>
          <t>a</t>
        </is>
      </c>
      <c r="D30" s="6" t="inlineStr">
        <is>
          <t>s'</t>
        </is>
      </c>
      <c r="E30" s="6" t="inlineStr">
        <is>
          <t>r</t>
        </is>
      </c>
      <c r="F30" s="6" t="inlineStr">
        <is>
          <t>γ^t ✱</t>
        </is>
      </c>
      <c r="G30" s="6" t="inlineStr">
        <is>
          <t>G_t ✱</t>
        </is>
      </c>
    </row>
    <row r="31">
      <c r="A31" s="9" t="n">
        <v>0</v>
      </c>
      <c r="B31" s="9" t="inlineStr">
        <is>
          <t>Cool</t>
        </is>
      </c>
      <c r="C31" s="9" t="inlineStr">
        <is>
          <t>Fast</t>
        </is>
      </c>
      <c r="D31" s="9" t="inlineStr">
        <is>
          <t>Warm</t>
        </is>
      </c>
      <c r="E31" s="9" t="n">
        <v>2</v>
      </c>
      <c r="F31" s="29">
        <f>0.9^A31</f>
        <v/>
      </c>
      <c r="G31" s="29">
        <f>E31+0.9*G32</f>
        <v/>
      </c>
    </row>
    <row r="32">
      <c r="A32" s="9" t="n">
        <v>1</v>
      </c>
      <c r="B32" s="9" t="inlineStr">
        <is>
          <t>Warm</t>
        </is>
      </c>
      <c r="C32" s="9" t="inlineStr">
        <is>
          <t>Slow</t>
        </is>
      </c>
      <c r="D32" s="9" t="inlineStr">
        <is>
          <t>Cool</t>
        </is>
      </c>
      <c r="E32" s="9" t="n">
        <v>1</v>
      </c>
      <c r="F32" s="29">
        <f>0.9^A32</f>
        <v/>
      </c>
      <c r="G32" s="29">
        <f>E32+0.9*G33</f>
        <v/>
      </c>
    </row>
    <row r="33">
      <c r="A33" s="9" t="n">
        <v>2</v>
      </c>
      <c r="B33" s="9" t="inlineStr">
        <is>
          <t>Cool</t>
        </is>
      </c>
      <c r="C33" s="9" t="inlineStr">
        <is>
          <t>Fast</t>
        </is>
      </c>
      <c r="D33" s="9" t="inlineStr">
        <is>
          <t>Cool</t>
        </is>
      </c>
      <c r="E33" s="9" t="n">
        <v>2</v>
      </c>
      <c r="F33" s="29">
        <f>0.9^A33</f>
        <v/>
      </c>
      <c r="G33" s="29">
        <f>E33+0.9*G34</f>
        <v/>
      </c>
    </row>
    <row r="34">
      <c r="A34" s="9" t="n">
        <v>3</v>
      </c>
      <c r="B34" s="9" t="inlineStr">
        <is>
          <t>Cool</t>
        </is>
      </c>
      <c r="C34" s="9" t="inlineStr">
        <is>
          <t>Fast</t>
        </is>
      </c>
      <c r="D34" s="9" t="inlineStr">
        <is>
          <t>Cool</t>
        </is>
      </c>
      <c r="E34" s="9" t="n">
        <v>2</v>
      </c>
      <c r="F34" s="29">
        <f>0.9^A34</f>
        <v/>
      </c>
      <c r="G34" s="29">
        <f>E34+0.9*G35</f>
        <v/>
      </c>
    </row>
    <row r="35">
      <c r="A35" s="9" t="n">
        <v>4</v>
      </c>
      <c r="B35" s="9" t="inlineStr">
        <is>
          <t>Cool</t>
        </is>
      </c>
      <c r="C35" s="9" t="inlineStr">
        <is>
          <t>Fast</t>
        </is>
      </c>
      <c r="D35" s="9" t="inlineStr">
        <is>
          <t>Cool</t>
        </is>
      </c>
      <c r="E35" s="9" t="n">
        <v>2</v>
      </c>
      <c r="F35" s="29">
        <f>0.9^A35</f>
        <v/>
      </c>
      <c r="G35" s="29">
        <f>E35+0.9*G36</f>
        <v/>
      </c>
    </row>
    <row r="36">
      <c r="A36" s="9" t="n">
        <v>5</v>
      </c>
      <c r="B36" s="9" t="inlineStr">
        <is>
          <t>Cool</t>
        </is>
      </c>
      <c r="C36" s="9" t="inlineStr">
        <is>
          <t>Fast</t>
        </is>
      </c>
      <c r="D36" s="9" t="inlineStr">
        <is>
          <t>Warm</t>
        </is>
      </c>
      <c r="E36" s="9" t="n">
        <v>2</v>
      </c>
      <c r="F36" s="29">
        <f>0.9^A36</f>
        <v/>
      </c>
      <c r="G36" s="29">
        <f>E36+0.9*G37</f>
        <v/>
      </c>
    </row>
    <row r="37">
      <c r="A37" s="9" t="n">
        <v>6</v>
      </c>
      <c r="B37" s="9" t="inlineStr">
        <is>
          <t>Warm</t>
        </is>
      </c>
      <c r="C37" s="9" t="inlineStr">
        <is>
          <t>Slow</t>
        </is>
      </c>
      <c r="D37" s="9" t="inlineStr">
        <is>
          <t>Warm</t>
        </is>
      </c>
      <c r="E37" s="9" t="n">
        <v>1</v>
      </c>
      <c r="F37" s="29">
        <f>0.9^A37</f>
        <v/>
      </c>
      <c r="G37" s="29">
        <f>E37+0.9*G38</f>
        <v/>
      </c>
    </row>
    <row r="38">
      <c r="A38" s="9" t="n">
        <v>7</v>
      </c>
      <c r="B38" s="9" t="inlineStr">
        <is>
          <t>Warm</t>
        </is>
      </c>
      <c r="C38" s="9" t="inlineStr">
        <is>
          <t>Slow</t>
        </is>
      </c>
      <c r="D38" s="9" t="inlineStr">
        <is>
          <t>Warm</t>
        </is>
      </c>
      <c r="E38" s="9" t="n">
        <v>1</v>
      </c>
      <c r="F38" s="29">
        <f>0.9^A38</f>
        <v/>
      </c>
      <c r="G38" s="29">
        <f>E38+0.9*G39</f>
        <v/>
      </c>
    </row>
    <row r="39">
      <c r="A39" s="9" t="n">
        <v>8</v>
      </c>
      <c r="B39" s="9" t="inlineStr">
        <is>
          <t>Warm</t>
        </is>
      </c>
      <c r="C39" s="9" t="inlineStr">
        <is>
          <t>Slow</t>
        </is>
      </c>
      <c r="D39" s="9" t="inlineStr">
        <is>
          <t>Warm</t>
        </is>
      </c>
      <c r="E39" s="9" t="n">
        <v>1</v>
      </c>
      <c r="F39" s="29">
        <f>0.9^A39</f>
        <v/>
      </c>
      <c r="G39" s="29">
        <f>E39+0.9*G40</f>
        <v/>
      </c>
    </row>
    <row r="40">
      <c r="A40" s="9" t="n">
        <v>9</v>
      </c>
      <c r="B40" s="9" t="inlineStr">
        <is>
          <t>Warm</t>
        </is>
      </c>
      <c r="C40" s="9" t="inlineStr">
        <is>
          <t>Slow</t>
        </is>
      </c>
      <c r="D40" s="9" t="inlineStr">
        <is>
          <t>Cool</t>
        </is>
      </c>
      <c r="E40" s="9" t="n">
        <v>1</v>
      </c>
      <c r="F40" s="29">
        <f>0.9^A40</f>
        <v/>
      </c>
      <c r="G40" s="29">
        <f>E40+0.9*G41</f>
        <v/>
      </c>
    </row>
    <row r="41">
      <c r="A41" s="9" t="n">
        <v>10</v>
      </c>
      <c r="B41" s="9" t="inlineStr">
        <is>
          <t>Cool</t>
        </is>
      </c>
      <c r="C41" s="9" t="inlineStr">
        <is>
          <t>Fast</t>
        </is>
      </c>
      <c r="D41" s="9" t="inlineStr">
        <is>
          <t>Cool</t>
        </is>
      </c>
      <c r="E41" s="9" t="n">
        <v>2</v>
      </c>
      <c r="F41" s="29">
        <f>0.9^A41</f>
        <v/>
      </c>
      <c r="G41" s="29">
        <f>E41+0.9*G42</f>
        <v/>
      </c>
    </row>
    <row r="42">
      <c r="A42" s="9" t="n">
        <v>11</v>
      </c>
      <c r="B42" s="9" t="inlineStr">
        <is>
          <t>Cool</t>
        </is>
      </c>
      <c r="C42" s="9" t="inlineStr">
        <is>
          <t>Fast</t>
        </is>
      </c>
      <c r="D42" s="9" t="inlineStr">
        <is>
          <t>Cool</t>
        </is>
      </c>
      <c r="E42" s="9" t="n">
        <v>2</v>
      </c>
      <c r="F42" s="29">
        <f>0.9^A42</f>
        <v/>
      </c>
      <c r="G42" s="29">
        <f>E42+0.9*G43</f>
        <v/>
      </c>
    </row>
    <row r="43">
      <c r="A43" s="9" t="n">
        <v>12</v>
      </c>
      <c r="B43" s="9" t="inlineStr">
        <is>
          <t>Cool</t>
        </is>
      </c>
      <c r="C43" s="9" t="inlineStr">
        <is>
          <t>Fast</t>
        </is>
      </c>
      <c r="D43" s="9" t="inlineStr">
        <is>
          <t>Warm</t>
        </is>
      </c>
      <c r="E43" s="9" t="n">
        <v>2</v>
      </c>
      <c r="F43" s="29">
        <f>0.9^A43</f>
        <v/>
      </c>
      <c r="G43" s="29">
        <f>E43+0.9*G44</f>
        <v/>
      </c>
    </row>
    <row r="44">
      <c r="A44" s="9" t="n">
        <v>13</v>
      </c>
      <c r="B44" s="9" t="inlineStr">
        <is>
          <t>Warm</t>
        </is>
      </c>
      <c r="C44" s="9" t="inlineStr">
        <is>
          <t>Slow</t>
        </is>
      </c>
      <c r="D44" s="9" t="inlineStr">
        <is>
          <t>Cool</t>
        </is>
      </c>
      <c r="E44" s="9" t="n">
        <v>1</v>
      </c>
      <c r="F44" s="29">
        <f>0.9^A44</f>
        <v/>
      </c>
      <c r="G44" s="29">
        <f>E44+0.9*G45</f>
        <v/>
      </c>
    </row>
    <row r="45">
      <c r="A45" s="9" t="n">
        <v>14</v>
      </c>
      <c r="B45" s="9" t="inlineStr">
        <is>
          <t>Cool</t>
        </is>
      </c>
      <c r="C45" s="9" t="inlineStr">
        <is>
          <t>Fast</t>
        </is>
      </c>
      <c r="D45" s="9" t="inlineStr">
        <is>
          <t>Cool</t>
        </is>
      </c>
      <c r="E45" s="9" t="n">
        <v>2</v>
      </c>
      <c r="F45" s="29">
        <f>0.9^A45</f>
        <v/>
      </c>
      <c r="G45" s="29">
        <f>E45+0.9*G46</f>
        <v/>
      </c>
    </row>
    <row r="46">
      <c r="A46" s="9" t="n">
        <v>15</v>
      </c>
      <c r="B46" s="9" t="inlineStr">
        <is>
          <t>Cool</t>
        </is>
      </c>
      <c r="C46" s="9" t="inlineStr">
        <is>
          <t>Fast</t>
        </is>
      </c>
      <c r="D46" s="9" t="inlineStr">
        <is>
          <t>Cool</t>
        </is>
      </c>
      <c r="E46" s="9" t="n">
        <v>2</v>
      </c>
      <c r="F46" s="29">
        <f>0.9^A46</f>
        <v/>
      </c>
      <c r="G46" s="29">
        <f>E46+0.9*G47</f>
        <v/>
      </c>
    </row>
    <row r="47">
      <c r="A47" s="9" t="n">
        <v>16</v>
      </c>
      <c r="B47" s="9" t="inlineStr">
        <is>
          <t>Cool</t>
        </is>
      </c>
      <c r="C47" s="9" t="inlineStr">
        <is>
          <t>Fast</t>
        </is>
      </c>
      <c r="D47" s="9" t="inlineStr">
        <is>
          <t>Warm</t>
        </is>
      </c>
      <c r="E47" s="9" t="n">
        <v>2</v>
      </c>
      <c r="F47" s="29">
        <f>0.9^A47</f>
        <v/>
      </c>
      <c r="G47" s="29">
        <f>E47+0.9*G48</f>
        <v/>
      </c>
    </row>
    <row r="48">
      <c r="A48" s="9" t="n">
        <v>17</v>
      </c>
      <c r="B48" s="9" t="inlineStr">
        <is>
          <t>Warm</t>
        </is>
      </c>
      <c r="C48" s="9" t="inlineStr">
        <is>
          <t>Slow</t>
        </is>
      </c>
      <c r="D48" s="9" t="inlineStr">
        <is>
          <t>Cool</t>
        </is>
      </c>
      <c r="E48" s="9" t="n">
        <v>1</v>
      </c>
      <c r="F48" s="29">
        <f>0.9^A48</f>
        <v/>
      </c>
      <c r="G48" s="29">
        <f>E48+0.9*G49</f>
        <v/>
      </c>
    </row>
    <row r="49">
      <c r="A49" s="9" t="n">
        <v>18</v>
      </c>
      <c r="B49" s="9" t="inlineStr">
        <is>
          <t>Cool</t>
        </is>
      </c>
      <c r="C49" s="9" t="inlineStr">
        <is>
          <t>Slow</t>
        </is>
      </c>
      <c r="D49" s="9" t="inlineStr">
        <is>
          <t>Warm</t>
        </is>
      </c>
      <c r="E49" s="9" t="n">
        <v>1</v>
      </c>
      <c r="F49" s="29">
        <f>0.9^A49</f>
        <v/>
      </c>
      <c r="G49" s="29">
        <f>E49+0.9*G50</f>
        <v/>
      </c>
    </row>
    <row r="50">
      <c r="A50" s="9" t="n">
        <v>19</v>
      </c>
      <c r="B50" s="9" t="inlineStr">
        <is>
          <t>Warm</t>
        </is>
      </c>
      <c r="C50" s="9" t="inlineStr">
        <is>
          <t>Slow</t>
        </is>
      </c>
      <c r="D50" s="9" t="inlineStr">
        <is>
          <t>Warm</t>
        </is>
      </c>
      <c r="E50" s="9" t="n">
        <v>1</v>
      </c>
      <c r="F50" s="29">
        <f>0.9^A50</f>
        <v/>
      </c>
      <c r="G50" s="29">
        <f>E50</f>
        <v/>
      </c>
    </row>
    <row r="51">
      <c r="A51" s="47" t="inlineStr">
        <is>
          <t>G₀ =</t>
        </is>
      </c>
      <c r="B51" s="29">
        <f>G31</f>
        <v/>
      </c>
    </row>
    <row r="52"/>
    <row r="53">
      <c r="A53" s="45" t="inlineStr">
        <is>
          <t>Episode 3</t>
        </is>
      </c>
      <c r="B53" s="46" t="n"/>
      <c r="C53" s="46" t="n"/>
      <c r="D53" s="46" t="n"/>
      <c r="E53" s="46" t="n"/>
      <c r="F53" s="46" t="n"/>
      <c r="G53" s="46" t="n"/>
    </row>
    <row r="54">
      <c r="A54" s="6" t="inlineStr">
        <is>
          <t>Step (t)</t>
        </is>
      </c>
      <c r="B54" s="6" t="inlineStr">
        <is>
          <t>s</t>
        </is>
      </c>
      <c r="C54" s="6" t="inlineStr">
        <is>
          <t>a</t>
        </is>
      </c>
      <c r="D54" s="6" t="inlineStr">
        <is>
          <t>s'</t>
        </is>
      </c>
      <c r="E54" s="6" t="inlineStr">
        <is>
          <t>r</t>
        </is>
      </c>
      <c r="F54" s="6" t="inlineStr">
        <is>
          <t>γ^t ✱</t>
        </is>
      </c>
      <c r="G54" s="6" t="inlineStr">
        <is>
          <t>G_t ✱</t>
        </is>
      </c>
    </row>
    <row r="55">
      <c r="A55" s="9" t="n">
        <v>0</v>
      </c>
      <c r="B55" s="9" t="inlineStr">
        <is>
          <t>Cool</t>
        </is>
      </c>
      <c r="C55" s="9" t="inlineStr">
        <is>
          <t>Fast</t>
        </is>
      </c>
      <c r="D55" s="9" t="inlineStr">
        <is>
          <t>Warm</t>
        </is>
      </c>
      <c r="E55" s="9" t="n">
        <v>2</v>
      </c>
      <c r="F55" s="29">
        <f>0.9^A55</f>
        <v/>
      </c>
      <c r="G55" s="29">
        <f>E55+0.9*G56</f>
        <v/>
      </c>
    </row>
    <row r="56">
      <c r="A56" s="9" t="n">
        <v>1</v>
      </c>
      <c r="B56" s="9" t="inlineStr">
        <is>
          <t>Warm</t>
        </is>
      </c>
      <c r="C56" s="9" t="inlineStr">
        <is>
          <t>Slow</t>
        </is>
      </c>
      <c r="D56" s="9" t="inlineStr">
        <is>
          <t>Cool</t>
        </is>
      </c>
      <c r="E56" s="9" t="n">
        <v>1</v>
      </c>
      <c r="F56" s="29">
        <f>0.9^A56</f>
        <v/>
      </c>
      <c r="G56" s="29">
        <f>E56+0.9*G57</f>
        <v/>
      </c>
    </row>
    <row r="57">
      <c r="A57" s="9" t="n">
        <v>2</v>
      </c>
      <c r="B57" s="9" t="inlineStr">
        <is>
          <t>Cool</t>
        </is>
      </c>
      <c r="C57" s="9" t="inlineStr">
        <is>
          <t>Fast</t>
        </is>
      </c>
      <c r="D57" s="9" t="inlineStr">
        <is>
          <t>Warm</t>
        </is>
      </c>
      <c r="E57" s="9" t="n">
        <v>2</v>
      </c>
      <c r="F57" s="29">
        <f>0.9^A57</f>
        <v/>
      </c>
      <c r="G57" s="29">
        <f>E57+0.9*G58</f>
        <v/>
      </c>
    </row>
    <row r="58">
      <c r="A58" s="9" t="n">
        <v>3</v>
      </c>
      <c r="B58" s="9" t="inlineStr">
        <is>
          <t>Warm</t>
        </is>
      </c>
      <c r="C58" s="9" t="inlineStr">
        <is>
          <t>Slow</t>
        </is>
      </c>
      <c r="D58" s="9" t="inlineStr">
        <is>
          <t>Warm</t>
        </is>
      </c>
      <c r="E58" s="9" t="n">
        <v>1</v>
      </c>
      <c r="F58" s="29">
        <f>0.9^A58</f>
        <v/>
      </c>
      <c r="G58" s="29">
        <f>E58+0.9*G59</f>
        <v/>
      </c>
    </row>
    <row r="59">
      <c r="A59" s="9" t="n">
        <v>4</v>
      </c>
      <c r="B59" s="9" t="inlineStr">
        <is>
          <t>Warm</t>
        </is>
      </c>
      <c r="C59" s="9" t="inlineStr">
        <is>
          <t>Slow</t>
        </is>
      </c>
      <c r="D59" s="9" t="inlineStr">
        <is>
          <t>Warm</t>
        </is>
      </c>
      <c r="E59" s="9" t="n">
        <v>1</v>
      </c>
      <c r="F59" s="29">
        <f>0.9^A59</f>
        <v/>
      </c>
      <c r="G59" s="29">
        <f>E59+0.9*G60</f>
        <v/>
      </c>
    </row>
    <row r="60">
      <c r="A60" s="9" t="n">
        <v>5</v>
      </c>
      <c r="B60" s="9" t="inlineStr">
        <is>
          <t>Warm</t>
        </is>
      </c>
      <c r="C60" s="9" t="inlineStr">
        <is>
          <t>Slow</t>
        </is>
      </c>
      <c r="D60" s="9" t="inlineStr">
        <is>
          <t>Cool</t>
        </is>
      </c>
      <c r="E60" s="9" t="n">
        <v>1</v>
      </c>
      <c r="F60" s="29">
        <f>0.9^A60</f>
        <v/>
      </c>
      <c r="G60" s="29">
        <f>E60+0.9*G61</f>
        <v/>
      </c>
    </row>
    <row r="61">
      <c r="A61" s="9" t="n">
        <v>6</v>
      </c>
      <c r="B61" s="9" t="inlineStr">
        <is>
          <t>Cool</t>
        </is>
      </c>
      <c r="C61" s="9" t="inlineStr">
        <is>
          <t>Fast</t>
        </is>
      </c>
      <c r="D61" s="9" t="inlineStr">
        <is>
          <t>Cool</t>
        </is>
      </c>
      <c r="E61" s="9" t="n">
        <v>2</v>
      </c>
      <c r="F61" s="29">
        <f>0.9^A61</f>
        <v/>
      </c>
      <c r="G61" s="29">
        <f>E61+0.9*G62</f>
        <v/>
      </c>
    </row>
    <row r="62">
      <c r="A62" s="9" t="n">
        <v>7</v>
      </c>
      <c r="B62" s="9" t="inlineStr">
        <is>
          <t>Cool</t>
        </is>
      </c>
      <c r="C62" s="9" t="inlineStr">
        <is>
          <t>Fast</t>
        </is>
      </c>
      <c r="D62" s="9" t="inlineStr">
        <is>
          <t>Cool</t>
        </is>
      </c>
      <c r="E62" s="9" t="n">
        <v>2</v>
      </c>
      <c r="F62" s="29">
        <f>0.9^A62</f>
        <v/>
      </c>
      <c r="G62" s="29">
        <f>E62+0.9*G63</f>
        <v/>
      </c>
    </row>
    <row r="63">
      <c r="A63" s="9" t="n">
        <v>8</v>
      </c>
      <c r="B63" s="9" t="inlineStr">
        <is>
          <t>Cool</t>
        </is>
      </c>
      <c r="C63" s="9" t="inlineStr">
        <is>
          <t>Fast</t>
        </is>
      </c>
      <c r="D63" s="9" t="inlineStr">
        <is>
          <t>Cool</t>
        </is>
      </c>
      <c r="E63" s="9" t="n">
        <v>2</v>
      </c>
      <c r="F63" s="29">
        <f>0.9^A63</f>
        <v/>
      </c>
      <c r="G63" s="29">
        <f>E63+0.9*G64</f>
        <v/>
      </c>
    </row>
    <row r="64">
      <c r="A64" s="9" t="n">
        <v>9</v>
      </c>
      <c r="B64" s="9" t="inlineStr">
        <is>
          <t>Cool</t>
        </is>
      </c>
      <c r="C64" s="9" t="inlineStr">
        <is>
          <t>Fast</t>
        </is>
      </c>
      <c r="D64" s="9" t="inlineStr">
        <is>
          <t>Warm</t>
        </is>
      </c>
      <c r="E64" s="9" t="n">
        <v>2</v>
      </c>
      <c r="F64" s="29">
        <f>0.9^A64</f>
        <v/>
      </c>
      <c r="G64" s="29">
        <f>E64+0.9*G65</f>
        <v/>
      </c>
    </row>
    <row r="65">
      <c r="A65" s="9" t="n">
        <v>10</v>
      </c>
      <c r="B65" s="9" t="inlineStr">
        <is>
          <t>Warm</t>
        </is>
      </c>
      <c r="C65" s="9" t="inlineStr">
        <is>
          <t>Slow</t>
        </is>
      </c>
      <c r="D65" s="9" t="inlineStr">
        <is>
          <t>Warm</t>
        </is>
      </c>
      <c r="E65" s="9" t="n">
        <v>1</v>
      </c>
      <c r="F65" s="29">
        <f>0.9^A65</f>
        <v/>
      </c>
      <c r="G65" s="29">
        <f>E65+0.9*G66</f>
        <v/>
      </c>
    </row>
    <row r="66">
      <c r="A66" s="9" t="n">
        <v>11</v>
      </c>
      <c r="B66" s="9" t="inlineStr">
        <is>
          <t>Warm</t>
        </is>
      </c>
      <c r="C66" s="9" t="inlineStr">
        <is>
          <t>Slow</t>
        </is>
      </c>
      <c r="D66" s="9" t="inlineStr">
        <is>
          <t>Warm</t>
        </is>
      </c>
      <c r="E66" s="9" t="n">
        <v>1</v>
      </c>
      <c r="F66" s="29">
        <f>0.9^A66</f>
        <v/>
      </c>
      <c r="G66" s="29">
        <f>E66+0.9*G67</f>
        <v/>
      </c>
    </row>
    <row r="67">
      <c r="A67" s="9" t="n">
        <v>12</v>
      </c>
      <c r="B67" s="9" t="inlineStr">
        <is>
          <t>Warm</t>
        </is>
      </c>
      <c r="C67" s="9" t="inlineStr">
        <is>
          <t>Slow</t>
        </is>
      </c>
      <c r="D67" s="9" t="inlineStr">
        <is>
          <t>Cool</t>
        </is>
      </c>
      <c r="E67" s="9" t="n">
        <v>1</v>
      </c>
      <c r="F67" s="29">
        <f>0.9^A67</f>
        <v/>
      </c>
      <c r="G67" s="29">
        <f>E67+0.9*G68</f>
        <v/>
      </c>
    </row>
    <row r="68">
      <c r="A68" s="9" t="n">
        <v>13</v>
      </c>
      <c r="B68" s="9" t="inlineStr">
        <is>
          <t>Cool</t>
        </is>
      </c>
      <c r="C68" s="9" t="inlineStr">
        <is>
          <t>Fast</t>
        </is>
      </c>
      <c r="D68" s="9" t="inlineStr">
        <is>
          <t>Cool</t>
        </is>
      </c>
      <c r="E68" s="9" t="n">
        <v>2</v>
      </c>
      <c r="F68" s="29">
        <f>0.9^A68</f>
        <v/>
      </c>
      <c r="G68" s="29">
        <f>E68+0.9*G69</f>
        <v/>
      </c>
    </row>
    <row r="69">
      <c r="A69" s="9" t="n">
        <v>14</v>
      </c>
      <c r="B69" s="9" t="inlineStr">
        <is>
          <t>Cool</t>
        </is>
      </c>
      <c r="C69" s="9" t="inlineStr">
        <is>
          <t>Fast</t>
        </is>
      </c>
      <c r="D69" s="9" t="inlineStr">
        <is>
          <t>Warm</t>
        </is>
      </c>
      <c r="E69" s="9" t="n">
        <v>2</v>
      </c>
      <c r="F69" s="29">
        <f>0.9^A69</f>
        <v/>
      </c>
      <c r="G69" s="29">
        <f>E69+0.9*G70</f>
        <v/>
      </c>
    </row>
    <row r="70">
      <c r="A70" s="9" t="n">
        <v>15</v>
      </c>
      <c r="B70" s="9" t="inlineStr">
        <is>
          <t>Warm</t>
        </is>
      </c>
      <c r="C70" s="9" t="inlineStr">
        <is>
          <t>Slow</t>
        </is>
      </c>
      <c r="D70" s="9" t="inlineStr">
        <is>
          <t>Warm</t>
        </is>
      </c>
      <c r="E70" s="9" t="n">
        <v>1</v>
      </c>
      <c r="F70" s="29">
        <f>0.9^A70</f>
        <v/>
      </c>
      <c r="G70" s="29">
        <f>E70+0.9*G71</f>
        <v/>
      </c>
    </row>
    <row r="71">
      <c r="A71" s="9" t="n">
        <v>16</v>
      </c>
      <c r="B71" s="9" t="inlineStr">
        <is>
          <t>Warm</t>
        </is>
      </c>
      <c r="C71" s="9" t="inlineStr">
        <is>
          <t>Slow</t>
        </is>
      </c>
      <c r="D71" s="9" t="inlineStr">
        <is>
          <t>Warm</t>
        </is>
      </c>
      <c r="E71" s="9" t="n">
        <v>1</v>
      </c>
      <c r="F71" s="29">
        <f>0.9^A71</f>
        <v/>
      </c>
      <c r="G71" s="29">
        <f>E71+0.9*G72</f>
        <v/>
      </c>
    </row>
    <row r="72">
      <c r="A72" s="9" t="n">
        <v>17</v>
      </c>
      <c r="B72" s="9" t="inlineStr">
        <is>
          <t>Warm</t>
        </is>
      </c>
      <c r="C72" s="9" t="inlineStr">
        <is>
          <t>Slow</t>
        </is>
      </c>
      <c r="D72" s="9" t="inlineStr">
        <is>
          <t>Cool</t>
        </is>
      </c>
      <c r="E72" s="9" t="n">
        <v>1</v>
      </c>
      <c r="F72" s="29">
        <f>0.9^A72</f>
        <v/>
      </c>
      <c r="G72" s="29">
        <f>E72+0.9*G73</f>
        <v/>
      </c>
    </row>
    <row r="73">
      <c r="A73" s="9" t="n">
        <v>18</v>
      </c>
      <c r="B73" s="9" t="inlineStr">
        <is>
          <t>Cool</t>
        </is>
      </c>
      <c r="C73" s="9" t="inlineStr">
        <is>
          <t>Slow</t>
        </is>
      </c>
      <c r="D73" s="9" t="inlineStr">
        <is>
          <t>Warm</t>
        </is>
      </c>
      <c r="E73" s="9" t="n">
        <v>1</v>
      </c>
      <c r="F73" s="29">
        <f>0.9^A73</f>
        <v/>
      </c>
      <c r="G73" s="29">
        <f>E73+0.9*G74</f>
        <v/>
      </c>
    </row>
    <row r="74">
      <c r="A74" s="20" t="n">
        <v>19</v>
      </c>
      <c r="B74" s="20" t="inlineStr">
        <is>
          <t>Warm</t>
        </is>
      </c>
      <c r="C74" s="20" t="inlineStr">
        <is>
          <t>Fast</t>
        </is>
      </c>
      <c r="D74" s="20" t="inlineStr">
        <is>
          <t>Overheated</t>
        </is>
      </c>
      <c r="E74" s="20" t="n">
        <v>-10</v>
      </c>
      <c r="F74" s="29">
        <f>0.9^A74</f>
        <v/>
      </c>
      <c r="G74" s="29">
        <f>E74</f>
        <v/>
      </c>
    </row>
    <row r="75">
      <c r="A75" s="47" t="inlineStr">
        <is>
          <t>G₀ =</t>
        </is>
      </c>
      <c r="B75" s="29">
        <f>G55</f>
        <v/>
      </c>
    </row>
    <row r="76"/>
    <row r="77">
      <c r="A77" s="45" t="inlineStr">
        <is>
          <t>Episode 4</t>
        </is>
      </c>
      <c r="B77" s="46" t="n"/>
      <c r="C77" s="46" t="n"/>
      <c r="D77" s="46" t="n"/>
      <c r="E77" s="46" t="n"/>
      <c r="F77" s="46" t="n"/>
      <c r="G77" s="46" t="n"/>
    </row>
    <row r="78">
      <c r="A78" s="6" t="inlineStr">
        <is>
          <t>Step (t)</t>
        </is>
      </c>
      <c r="B78" s="6" t="inlineStr">
        <is>
          <t>s</t>
        </is>
      </c>
      <c r="C78" s="6" t="inlineStr">
        <is>
          <t>a</t>
        </is>
      </c>
      <c r="D78" s="6" t="inlineStr">
        <is>
          <t>s'</t>
        </is>
      </c>
      <c r="E78" s="6" t="inlineStr">
        <is>
          <t>r</t>
        </is>
      </c>
      <c r="F78" s="6" t="inlineStr">
        <is>
          <t>γ^t ✱</t>
        </is>
      </c>
      <c r="G78" s="6" t="inlineStr">
        <is>
          <t>G_t ✱</t>
        </is>
      </c>
    </row>
    <row r="79">
      <c r="A79" s="9" t="n">
        <v>0</v>
      </c>
      <c r="B79" s="9" t="inlineStr">
        <is>
          <t>Cool</t>
        </is>
      </c>
      <c r="C79" s="9" t="inlineStr">
        <is>
          <t>Fast</t>
        </is>
      </c>
      <c r="D79" s="9" t="inlineStr">
        <is>
          <t>Cool</t>
        </is>
      </c>
      <c r="E79" s="9" t="n">
        <v>2</v>
      </c>
      <c r="F79" s="29">
        <f>0.9^A79</f>
        <v/>
      </c>
      <c r="G79" s="29">
        <f>E79+0.9*G80</f>
        <v/>
      </c>
    </row>
    <row r="80">
      <c r="A80" s="9" t="n">
        <v>1</v>
      </c>
      <c r="B80" s="9" t="inlineStr">
        <is>
          <t>Cool</t>
        </is>
      </c>
      <c r="C80" s="9" t="inlineStr">
        <is>
          <t>Fast</t>
        </is>
      </c>
      <c r="D80" s="9" t="inlineStr">
        <is>
          <t>Warm</t>
        </is>
      </c>
      <c r="E80" s="9" t="n">
        <v>2</v>
      </c>
      <c r="F80" s="29">
        <f>0.9^A80</f>
        <v/>
      </c>
      <c r="G80" s="29">
        <f>E80+0.9*G81</f>
        <v/>
      </c>
    </row>
    <row r="81">
      <c r="A81" s="9" t="n">
        <v>2</v>
      </c>
      <c r="B81" s="9" t="inlineStr">
        <is>
          <t>Warm</t>
        </is>
      </c>
      <c r="C81" s="9" t="inlineStr">
        <is>
          <t>Slow</t>
        </is>
      </c>
      <c r="D81" s="9" t="inlineStr">
        <is>
          <t>Cool</t>
        </is>
      </c>
      <c r="E81" s="9" t="n">
        <v>1</v>
      </c>
      <c r="F81" s="29">
        <f>0.9^A81</f>
        <v/>
      </c>
      <c r="G81" s="29">
        <f>E81+0.9*G82</f>
        <v/>
      </c>
    </row>
    <row r="82">
      <c r="A82" s="9" t="n">
        <v>3</v>
      </c>
      <c r="B82" s="9" t="inlineStr">
        <is>
          <t>Cool</t>
        </is>
      </c>
      <c r="C82" s="9" t="inlineStr">
        <is>
          <t>Fast</t>
        </is>
      </c>
      <c r="D82" s="9" t="inlineStr">
        <is>
          <t>Cool</t>
        </is>
      </c>
      <c r="E82" s="9" t="n">
        <v>2</v>
      </c>
      <c r="F82" s="29">
        <f>0.9^A82</f>
        <v/>
      </c>
      <c r="G82" s="29">
        <f>E82+0.9*G83</f>
        <v/>
      </c>
    </row>
    <row r="83">
      <c r="A83" s="9" t="n">
        <v>4</v>
      </c>
      <c r="B83" s="9" t="inlineStr">
        <is>
          <t>Cool</t>
        </is>
      </c>
      <c r="C83" s="9" t="inlineStr">
        <is>
          <t>Fast</t>
        </is>
      </c>
      <c r="D83" s="9" t="inlineStr">
        <is>
          <t>Cool</t>
        </is>
      </c>
      <c r="E83" s="9" t="n">
        <v>2</v>
      </c>
      <c r="F83" s="29">
        <f>0.9^A83</f>
        <v/>
      </c>
      <c r="G83" s="29">
        <f>E83+0.9*G84</f>
        <v/>
      </c>
    </row>
    <row r="84">
      <c r="A84" s="9" t="n">
        <v>5</v>
      </c>
      <c r="B84" s="9" t="inlineStr">
        <is>
          <t>Cool</t>
        </is>
      </c>
      <c r="C84" s="9" t="inlineStr">
        <is>
          <t>Fast</t>
        </is>
      </c>
      <c r="D84" s="9" t="inlineStr">
        <is>
          <t>Warm</t>
        </is>
      </c>
      <c r="E84" s="9" t="n">
        <v>2</v>
      </c>
      <c r="F84" s="29">
        <f>0.9^A84</f>
        <v/>
      </c>
      <c r="G84" s="29">
        <f>E84+0.9*G85</f>
        <v/>
      </c>
    </row>
    <row r="85">
      <c r="A85" s="9" t="n">
        <v>6</v>
      </c>
      <c r="B85" s="9" t="inlineStr">
        <is>
          <t>Warm</t>
        </is>
      </c>
      <c r="C85" s="9" t="inlineStr">
        <is>
          <t>Slow</t>
        </is>
      </c>
      <c r="D85" s="9" t="inlineStr">
        <is>
          <t>Warm</t>
        </is>
      </c>
      <c r="E85" s="9" t="n">
        <v>1</v>
      </c>
      <c r="F85" s="29">
        <f>0.9^A85</f>
        <v/>
      </c>
      <c r="G85" s="29">
        <f>E85+0.9*G86</f>
        <v/>
      </c>
    </row>
    <row r="86">
      <c r="A86" s="9" t="n">
        <v>7</v>
      </c>
      <c r="B86" s="9" t="inlineStr">
        <is>
          <t>Warm</t>
        </is>
      </c>
      <c r="C86" s="9" t="inlineStr">
        <is>
          <t>Slow</t>
        </is>
      </c>
      <c r="D86" s="9" t="inlineStr">
        <is>
          <t>Warm</t>
        </is>
      </c>
      <c r="E86" s="9" t="n">
        <v>1</v>
      </c>
      <c r="F86" s="29">
        <f>0.9^A86</f>
        <v/>
      </c>
      <c r="G86" s="29">
        <f>E86+0.9*G87</f>
        <v/>
      </c>
    </row>
    <row r="87">
      <c r="A87" s="9" t="n">
        <v>8</v>
      </c>
      <c r="B87" s="9" t="inlineStr">
        <is>
          <t>Warm</t>
        </is>
      </c>
      <c r="C87" s="9" t="inlineStr">
        <is>
          <t>Slow</t>
        </is>
      </c>
      <c r="D87" s="9" t="inlineStr">
        <is>
          <t>Cool</t>
        </is>
      </c>
      <c r="E87" s="9" t="n">
        <v>1</v>
      </c>
      <c r="F87" s="29">
        <f>0.9^A87</f>
        <v/>
      </c>
      <c r="G87" s="29">
        <f>E87+0.9*G88</f>
        <v/>
      </c>
    </row>
    <row r="88">
      <c r="A88" s="9" t="n">
        <v>9</v>
      </c>
      <c r="B88" s="9" t="inlineStr">
        <is>
          <t>Cool</t>
        </is>
      </c>
      <c r="C88" s="9" t="inlineStr">
        <is>
          <t>Fast</t>
        </is>
      </c>
      <c r="D88" s="9" t="inlineStr">
        <is>
          <t>Cool</t>
        </is>
      </c>
      <c r="E88" s="9" t="n">
        <v>2</v>
      </c>
      <c r="F88" s="29">
        <f>0.9^A88</f>
        <v/>
      </c>
      <c r="G88" s="29">
        <f>E88+0.9*G89</f>
        <v/>
      </c>
    </row>
    <row r="89">
      <c r="A89" s="9" t="n">
        <v>10</v>
      </c>
      <c r="B89" s="9" t="inlineStr">
        <is>
          <t>Cool</t>
        </is>
      </c>
      <c r="C89" s="9" t="inlineStr">
        <is>
          <t>Fast</t>
        </is>
      </c>
      <c r="D89" s="9" t="inlineStr">
        <is>
          <t>Warm</t>
        </is>
      </c>
      <c r="E89" s="9" t="n">
        <v>2</v>
      </c>
      <c r="F89" s="29">
        <f>0.9^A89</f>
        <v/>
      </c>
      <c r="G89" s="29">
        <f>E89+0.9*G90</f>
        <v/>
      </c>
    </row>
    <row r="90">
      <c r="A90" s="9" t="n">
        <v>11</v>
      </c>
      <c r="B90" s="9" t="inlineStr">
        <is>
          <t>Warm</t>
        </is>
      </c>
      <c r="C90" s="9" t="inlineStr">
        <is>
          <t>Slow</t>
        </is>
      </c>
      <c r="D90" s="9" t="inlineStr">
        <is>
          <t>Cool</t>
        </is>
      </c>
      <c r="E90" s="9" t="n">
        <v>1</v>
      </c>
      <c r="F90" s="29">
        <f>0.9^A90</f>
        <v/>
      </c>
      <c r="G90" s="29">
        <f>E90+0.9*G91</f>
        <v/>
      </c>
    </row>
    <row r="91">
      <c r="A91" s="9" t="n">
        <v>12</v>
      </c>
      <c r="B91" s="9" t="inlineStr">
        <is>
          <t>Cool</t>
        </is>
      </c>
      <c r="C91" s="9" t="inlineStr">
        <is>
          <t>Fast</t>
        </is>
      </c>
      <c r="D91" s="9" t="inlineStr">
        <is>
          <t>Warm</t>
        </is>
      </c>
      <c r="E91" s="9" t="n">
        <v>2</v>
      </c>
      <c r="F91" s="29">
        <f>0.9^A91</f>
        <v/>
      </c>
      <c r="G91" s="29">
        <f>E91+0.9*G92</f>
        <v/>
      </c>
    </row>
    <row r="92">
      <c r="A92" s="20" t="n">
        <v>13</v>
      </c>
      <c r="B92" s="20" t="inlineStr">
        <is>
          <t>Warm</t>
        </is>
      </c>
      <c r="C92" s="20" t="inlineStr">
        <is>
          <t>Fast</t>
        </is>
      </c>
      <c r="D92" s="20" t="inlineStr">
        <is>
          <t>Overheated</t>
        </is>
      </c>
      <c r="E92" s="20" t="n">
        <v>-10</v>
      </c>
      <c r="F92" s="29">
        <f>0.9^A92</f>
        <v/>
      </c>
      <c r="G92" s="29">
        <f>E92</f>
        <v/>
      </c>
    </row>
    <row r="93">
      <c r="A93" s="47" t="inlineStr">
        <is>
          <t>G₀ =</t>
        </is>
      </c>
      <c r="B93" s="29">
        <f>G79</f>
        <v/>
      </c>
    </row>
    <row r="94"/>
    <row r="95">
      <c r="A95" s="45" t="inlineStr">
        <is>
          <t>Episode 5</t>
        </is>
      </c>
      <c r="B95" s="46" t="n"/>
      <c r="C95" s="46" t="n"/>
      <c r="D95" s="46" t="n"/>
      <c r="E95" s="46" t="n"/>
      <c r="F95" s="46" t="n"/>
      <c r="G95" s="46" t="n"/>
    </row>
    <row r="96">
      <c r="A96" s="6" t="inlineStr">
        <is>
          <t>Step (t)</t>
        </is>
      </c>
      <c r="B96" s="6" t="inlineStr">
        <is>
          <t>s</t>
        </is>
      </c>
      <c r="C96" s="6" t="inlineStr">
        <is>
          <t>a</t>
        </is>
      </c>
      <c r="D96" s="6" t="inlineStr">
        <is>
          <t>s'</t>
        </is>
      </c>
      <c r="E96" s="6" t="inlineStr">
        <is>
          <t>r</t>
        </is>
      </c>
      <c r="F96" s="6" t="inlineStr">
        <is>
          <t>γ^t ✱</t>
        </is>
      </c>
      <c r="G96" s="6" t="inlineStr">
        <is>
          <t>G_t ✱</t>
        </is>
      </c>
    </row>
    <row r="97">
      <c r="A97" s="9" t="n">
        <v>0</v>
      </c>
      <c r="B97" s="9" t="inlineStr">
        <is>
          <t>Cool</t>
        </is>
      </c>
      <c r="C97" s="9" t="inlineStr">
        <is>
          <t>Fast</t>
        </is>
      </c>
      <c r="D97" s="9" t="inlineStr">
        <is>
          <t>Warm</t>
        </is>
      </c>
      <c r="E97" s="9" t="n">
        <v>2</v>
      </c>
      <c r="F97" s="29">
        <f>0.9^A97</f>
        <v/>
      </c>
      <c r="G97" s="29">
        <f>E97+0.9*G98</f>
        <v/>
      </c>
    </row>
    <row r="98">
      <c r="A98" s="20" t="n">
        <v>1</v>
      </c>
      <c r="B98" s="20" t="inlineStr">
        <is>
          <t>Warm</t>
        </is>
      </c>
      <c r="C98" s="20" t="inlineStr">
        <is>
          <t>Fast</t>
        </is>
      </c>
      <c r="D98" s="20" t="inlineStr">
        <is>
          <t>Overheated</t>
        </is>
      </c>
      <c r="E98" s="20" t="n">
        <v>-10</v>
      </c>
      <c r="F98" s="29">
        <f>0.9^A98</f>
        <v/>
      </c>
      <c r="G98" s="29">
        <f>E98</f>
        <v/>
      </c>
    </row>
    <row r="99">
      <c r="A99" s="47" t="inlineStr">
        <is>
          <t>G₀ =</t>
        </is>
      </c>
      <c r="B99" s="29">
        <f>G97</f>
        <v/>
      </c>
    </row>
  </sheetData>
  <mergeCells count="8">
    <mergeCell ref="A1:G1"/>
    <mergeCell ref="A3:G3"/>
    <mergeCell ref="A53:G53"/>
    <mergeCell ref="A77:G77"/>
    <mergeCell ref="A95:G95"/>
    <mergeCell ref="A2:G2"/>
    <mergeCell ref="A29:G29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21" customWidth="1" min="3" max="3"/>
    <col width="21" customWidth="1" min="4" max="4"/>
    <col width="21" customWidth="1" min="5" max="5"/>
    <col width="21" customWidth="1" min="6" max="6"/>
    <col width="20" customWidth="1" min="7" max="7"/>
    <col width="14" customWidth="1" min="8" max="8"/>
  </cols>
  <sheetData>
    <row r="1">
      <c r="A1" s="1" t="inlineStr">
        <is>
          <t>Monte Carlo — First-Visit V(s) and Q(s,a) Estimation</t>
        </is>
      </c>
    </row>
    <row r="2">
      <c r="A2" s="4" t="inlineStr">
        <is>
          <t>Each cell = G_t of the first visit in that episode (cross-sheet ref).  V/Q = AVERAGE of those returns.</t>
        </is>
      </c>
    </row>
    <row r="3"/>
    <row r="4">
      <c r="A4" s="2" t="inlineStr">
        <is>
          <t>V^MC(s) = average of first-visit G_t per state</t>
        </is>
      </c>
    </row>
    <row r="5">
      <c r="A5" s="6" t="inlineStr">
        <is>
          <t>State</t>
        </is>
      </c>
      <c r="B5" s="6" t="inlineStr">
        <is>
          <t>Ep1 G_t ✱</t>
        </is>
      </c>
      <c r="C5" s="6" t="inlineStr">
        <is>
          <t>Ep2 G_t ✱</t>
        </is>
      </c>
      <c r="D5" s="6" t="inlineStr">
        <is>
          <t>Ep3 G_t ✱</t>
        </is>
      </c>
      <c r="E5" s="6" t="inlineStr">
        <is>
          <t>Ep4 G_t ✱</t>
        </is>
      </c>
      <c r="F5" s="6" t="inlineStr">
        <is>
          <t>Ep5 G_t ✱</t>
        </is>
      </c>
      <c r="G5" s="6" t="inlineStr">
        <is>
          <t>V^MC(s) ✱</t>
        </is>
      </c>
    </row>
    <row r="6">
      <c r="A6" s="7" t="inlineStr">
        <is>
          <t>Cool</t>
        </is>
      </c>
      <c r="B6" s="29">
        <f>'MC-Episodes'!G7</f>
        <v/>
      </c>
      <c r="C6" s="29">
        <f>'MC-Episodes'!G31</f>
        <v/>
      </c>
      <c r="D6" s="29">
        <f>'MC-Episodes'!G55</f>
        <v/>
      </c>
      <c r="E6" s="29">
        <f>'MC-Episodes'!G79</f>
        <v/>
      </c>
      <c r="F6" s="29">
        <f>'MC-Episodes'!G97</f>
        <v/>
      </c>
      <c r="G6" s="29">
        <f>AVERAGE(B6:F6)</f>
        <v/>
      </c>
    </row>
    <row r="7">
      <c r="A7" s="7" t="inlineStr">
        <is>
          <t>Warm</t>
        </is>
      </c>
      <c r="B7" s="29">
        <f>'MC-Episodes'!G15</f>
        <v/>
      </c>
      <c r="C7" s="29">
        <f>'MC-Episodes'!G32</f>
        <v/>
      </c>
      <c r="D7" s="29">
        <f>'MC-Episodes'!G56</f>
        <v/>
      </c>
      <c r="E7" s="29">
        <f>'MC-Episodes'!G81</f>
        <v/>
      </c>
      <c r="F7" s="29">
        <f>'MC-Episodes'!G98</f>
        <v/>
      </c>
      <c r="G7" s="29">
        <f>AVERAGE(B7:F7)</f>
        <v/>
      </c>
    </row>
    <row r="8">
      <c r="A8" s="41" t="inlineStr">
        <is>
          <t>Overheated</t>
        </is>
      </c>
      <c r="B8" s="20" t="n">
        <v>0</v>
      </c>
      <c r="C8" s="20" t="n"/>
      <c r="D8" s="20" t="n"/>
      <c r="E8" s="20" t="n"/>
      <c r="F8" s="20" t="n"/>
      <c r="G8" s="20" t="n">
        <v>0</v>
      </c>
    </row>
    <row r="9"/>
    <row r="10">
      <c r="A10" s="2" t="inlineStr">
        <is>
          <t>Q^MC(s,a) = average of first-visit G_t per (s,a)</t>
        </is>
      </c>
    </row>
    <row r="11">
      <c r="A11" s="6" t="inlineStr">
        <is>
          <t>(s, a)</t>
        </is>
      </c>
      <c r="B11" s="6" t="inlineStr">
        <is>
          <t>Ep1 G_t ✱</t>
        </is>
      </c>
      <c r="C11" s="6" t="inlineStr">
        <is>
          <t>Ep2 G_t ✱</t>
        </is>
      </c>
      <c r="D11" s="6" t="inlineStr">
        <is>
          <t>Ep3 G_t ✱</t>
        </is>
      </c>
      <c r="E11" s="6" t="inlineStr">
        <is>
          <t>Ep4 G_t ✱</t>
        </is>
      </c>
      <c r="F11" s="6" t="inlineStr">
        <is>
          <t>Ep5 G_t ✱</t>
        </is>
      </c>
      <c r="G11" s="6" t="inlineStr">
        <is>
          <t>Q^MC(s,a) ✱</t>
        </is>
      </c>
    </row>
    <row r="12">
      <c r="A12" s="7" t="inlineStr">
        <is>
          <t>(Cool, Slow)</t>
        </is>
      </c>
      <c r="B12" s="29">
        <f>'MC-Episodes'!G20</f>
        <v/>
      </c>
      <c r="C12" s="29">
        <f>'MC-Episodes'!G49</f>
        <v/>
      </c>
      <c r="D12" s="29">
        <f>'MC-Episodes'!G73</f>
        <v/>
      </c>
      <c r="G12" s="29">
        <f>AVERAGE(B12:F12)</f>
        <v/>
      </c>
    </row>
    <row r="13">
      <c r="A13" s="7" t="inlineStr">
        <is>
          <t>(Cool, Fast)</t>
        </is>
      </c>
      <c r="B13" s="29">
        <f>'MC-Episodes'!G7</f>
        <v/>
      </c>
      <c r="C13" s="29">
        <f>'MC-Episodes'!G31</f>
        <v/>
      </c>
      <c r="D13" s="29">
        <f>'MC-Episodes'!G55</f>
        <v/>
      </c>
      <c r="E13" s="29">
        <f>'MC-Episodes'!G79</f>
        <v/>
      </c>
      <c r="F13" s="29">
        <f>'MC-Episodes'!G97</f>
        <v/>
      </c>
      <c r="G13" s="29">
        <f>AVERAGE(B13:F13)</f>
        <v/>
      </c>
    </row>
    <row r="14">
      <c r="A14" s="7" t="inlineStr">
        <is>
          <t>(Warm, Slow)</t>
        </is>
      </c>
      <c r="B14" s="29">
        <f>'MC-Episodes'!G15</f>
        <v/>
      </c>
      <c r="C14" s="29">
        <f>'MC-Episodes'!G32</f>
        <v/>
      </c>
      <c r="D14" s="29">
        <f>'MC-Episodes'!G56</f>
        <v/>
      </c>
      <c r="E14" s="29">
        <f>'MC-Episodes'!G81</f>
        <v/>
      </c>
      <c r="G14" s="29">
        <f>AVERAGE(B14:F14)</f>
        <v/>
      </c>
    </row>
    <row r="15">
      <c r="A15" s="7" t="inlineStr">
        <is>
          <t>(Warm, Fast)</t>
        </is>
      </c>
      <c r="D15" s="29">
        <f>'MC-Episodes'!G74</f>
        <v/>
      </c>
      <c r="E15" s="29">
        <f>'MC-Episodes'!G92</f>
        <v/>
      </c>
      <c r="F15" s="29">
        <f>'MC-Episodes'!G98</f>
        <v/>
      </c>
      <c r="G15" s="29">
        <f>AVERAGE(B15:F15)</f>
        <v/>
      </c>
    </row>
    <row r="16"/>
    <row r="17">
      <c r="A17" s="2" t="inlineStr">
        <is>
          <t>Greedy Policy from Q^MC: π(s) = argmax_a Q^MC(s,a)</t>
        </is>
      </c>
    </row>
    <row r="18">
      <c r="A18" s="6" t="inlineStr">
        <is>
          <t>State</t>
        </is>
      </c>
      <c r="B18" s="6" t="inlineStr">
        <is>
          <t>π(s) ✱</t>
        </is>
      </c>
      <c r="C18" s="6" t="inlineStr">
        <is>
          <t>Q^MC(s,π(s)) ✱</t>
        </is>
      </c>
    </row>
    <row r="19">
      <c r="A19" s="7" t="inlineStr">
        <is>
          <t>Cool</t>
        </is>
      </c>
      <c r="B19" s="29">
        <f>IF(G13&gt;=G12,"Fast","Slow")</f>
        <v/>
      </c>
      <c r="C19" s="29">
        <f>MAX(G12,G13)</f>
        <v/>
      </c>
    </row>
    <row r="20">
      <c r="A20" s="7" t="inlineStr">
        <is>
          <t>Warm</t>
        </is>
      </c>
      <c r="B20" s="29">
        <f>IF(G15&gt;=G14,"Fast","Slow")</f>
        <v/>
      </c>
      <c r="C20" s="29">
        <f>MAX(G14,G15)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49" customWidth="1" min="8" max="8"/>
    <col width="15" customWidth="1" min="9" max="9"/>
    <col width="14" customWidth="1" min="10" max="10"/>
    <col width="15" customWidth="1" min="11" max="11"/>
    <col width="26" customWidth="1" min="12" max="12"/>
    <col width="26" customWidth="1" min="13" max="13"/>
  </cols>
  <sheetData>
    <row r="1">
      <c r="A1" s="1" t="inlineStr">
        <is>
          <t>TD(0) — Step-by-Step V(s) Updates</t>
        </is>
      </c>
    </row>
    <row r="2">
      <c r="A2" s="4" t="inlineStr">
        <is>
          <t>NOTE: Each row = one time step t (a single transition s→s'), NOT a full sweep.  TD updates V(s) after every step, unlike DP which sweeps all states per iteration k.</t>
        </is>
      </c>
    </row>
    <row r="3">
      <c r="A3" s="4" t="inlineStr">
        <is>
          <t>V(s) ← V(s) + α·[r + γ·V(s') − V(s)].  α=0.1, γ=0.9.  L,M track V(Cool),V(Warm) after each step.</t>
        </is>
      </c>
    </row>
    <row r="4"/>
    <row r="5">
      <c r="A5" s="6" t="inlineStr">
        <is>
          <t>Step</t>
        </is>
      </c>
      <c r="B5" s="6" t="inlineStr">
        <is>
          <t>Ep</t>
        </is>
      </c>
      <c r="C5" s="6" t="inlineStr">
        <is>
          <t>s</t>
        </is>
      </c>
      <c r="D5" s="6" t="inlineStr">
        <is>
          <t>a</t>
        </is>
      </c>
      <c r="E5" s="6" t="inlineStr">
        <is>
          <t>r</t>
        </is>
      </c>
      <c r="F5" s="6" t="inlineStr">
        <is>
          <t>s'</t>
        </is>
      </c>
      <c r="G5" s="6" t="inlineStr">
        <is>
          <t>V(s) bef ✱</t>
        </is>
      </c>
      <c r="H5" s="6" t="inlineStr">
        <is>
          <t>V(s') ✱</t>
        </is>
      </c>
      <c r="I5" s="6" t="inlineStr">
        <is>
          <t>Target ✱</t>
        </is>
      </c>
      <c r="J5" s="6" t="inlineStr">
        <is>
          <t>Error ✱</t>
        </is>
      </c>
      <c r="K5" s="6" t="inlineStr">
        <is>
          <t>V(s) aft ✱</t>
        </is>
      </c>
      <c r="L5" s="6" t="inlineStr">
        <is>
          <t>V(Cool) ✱</t>
        </is>
      </c>
      <c r="M5" s="6" t="inlineStr">
        <is>
          <t>V(Warm) ✱</t>
        </is>
      </c>
    </row>
    <row r="6">
      <c r="A6" s="9" t="inlineStr">
        <is>
          <t>init</t>
        </is>
      </c>
      <c r="B6" s="9" t="inlineStr">
        <is>
          <t>init</t>
        </is>
      </c>
      <c r="C6" s="9" t="inlineStr">
        <is>
          <t>init</t>
        </is>
      </c>
      <c r="D6" s="9" t="inlineStr">
        <is>
          <t>init</t>
        </is>
      </c>
      <c r="E6" s="9" t="inlineStr">
        <is>
          <t>init</t>
        </is>
      </c>
      <c r="F6" s="9" t="inlineStr">
        <is>
          <t>init</t>
        </is>
      </c>
      <c r="G6" s="9" t="inlineStr"/>
      <c r="H6" s="9" t="inlineStr"/>
      <c r="I6" s="9" t="inlineStr"/>
      <c r="J6" s="9" t="inlineStr"/>
      <c r="K6" s="9" t="inlineStr"/>
      <c r="L6" s="48" t="n">
        <v>0</v>
      </c>
      <c r="M6" s="48" t="n">
        <v>0</v>
      </c>
    </row>
    <row r="7">
      <c r="A7" s="9" t="n">
        <v>1</v>
      </c>
      <c r="B7" s="9" t="n">
        <v>1</v>
      </c>
      <c r="C7" s="9" t="inlineStr">
        <is>
          <t>Cool</t>
        </is>
      </c>
      <c r="D7" s="9" t="inlineStr">
        <is>
          <t>Fast</t>
        </is>
      </c>
      <c r="E7" s="9" t="n">
        <v>2</v>
      </c>
      <c r="F7" s="9" t="inlineStr">
        <is>
          <t>Cool</t>
        </is>
      </c>
      <c r="G7" s="29">
        <f>IF(C7="Cool",L6,M6)</f>
        <v/>
      </c>
      <c r="H7" s="29">
        <f>IF(F7="Overheated",0,IF(F7="Cool",L6,M6))</f>
        <v/>
      </c>
      <c r="I7" s="29">
        <f>E7+0.9*H7</f>
        <v/>
      </c>
      <c r="J7" s="29">
        <f>I7-G7</f>
        <v/>
      </c>
      <c r="K7" s="29">
        <f>G7+0.1*J7</f>
        <v/>
      </c>
      <c r="L7" s="29">
        <f>IF(C7="Cool",K7,L6)</f>
        <v/>
      </c>
      <c r="M7" s="29">
        <f>IF(C7="Warm",K7,M6)</f>
        <v/>
      </c>
    </row>
    <row r="8">
      <c r="A8" s="9" t="n">
        <v>2</v>
      </c>
      <c r="B8" s="9" t="n">
        <v>1</v>
      </c>
      <c r="C8" s="9" t="inlineStr">
        <is>
          <t>Cool</t>
        </is>
      </c>
      <c r="D8" s="9" t="inlineStr">
        <is>
          <t>Fast</t>
        </is>
      </c>
      <c r="E8" s="9" t="n">
        <v>2</v>
      </c>
      <c r="F8" s="9" t="inlineStr">
        <is>
          <t>Cool</t>
        </is>
      </c>
      <c r="G8" s="29">
        <f>IF(C8="Cool",L7,M7)</f>
        <v/>
      </c>
      <c r="H8" s="29">
        <f>IF(F8="Overheated",0,IF(F8="Cool",L7,M7))</f>
        <v/>
      </c>
      <c r="I8" s="29">
        <f>E8+0.9*H8</f>
        <v/>
      </c>
      <c r="J8" s="29">
        <f>I8-G8</f>
        <v/>
      </c>
      <c r="K8" s="29">
        <f>G8+0.1*J8</f>
        <v/>
      </c>
      <c r="L8" s="29">
        <f>IF(C8="Cool",K8,L7)</f>
        <v/>
      </c>
      <c r="M8" s="29">
        <f>IF(C8="Warm",K8,M7)</f>
        <v/>
      </c>
    </row>
    <row r="9">
      <c r="A9" s="9" t="n">
        <v>3</v>
      </c>
      <c r="B9" s="9" t="n">
        <v>1</v>
      </c>
      <c r="C9" s="9" t="inlineStr">
        <is>
          <t>Cool</t>
        </is>
      </c>
      <c r="D9" s="9" t="inlineStr">
        <is>
          <t>Fast</t>
        </is>
      </c>
      <c r="E9" s="9" t="n">
        <v>2</v>
      </c>
      <c r="F9" s="9" t="inlineStr">
        <is>
          <t>Cool</t>
        </is>
      </c>
      <c r="G9" s="29">
        <f>IF(C9="Cool",L8,M8)</f>
        <v/>
      </c>
      <c r="H9" s="29">
        <f>IF(F9="Overheated",0,IF(F9="Cool",L8,M8))</f>
        <v/>
      </c>
      <c r="I9" s="29">
        <f>E9+0.9*H9</f>
        <v/>
      </c>
      <c r="J9" s="29">
        <f>I9-G9</f>
        <v/>
      </c>
      <c r="K9" s="29">
        <f>G9+0.1*J9</f>
        <v/>
      </c>
      <c r="L9" s="29">
        <f>IF(C9="Cool",K9,L8)</f>
        <v/>
      </c>
      <c r="M9" s="29">
        <f>IF(C9="Warm",K9,M8)</f>
        <v/>
      </c>
    </row>
    <row r="10">
      <c r="A10" s="9" t="n">
        <v>4</v>
      </c>
      <c r="B10" s="9" t="n">
        <v>1</v>
      </c>
      <c r="C10" s="9" t="inlineStr">
        <is>
          <t>Cool</t>
        </is>
      </c>
      <c r="D10" s="9" t="inlineStr">
        <is>
          <t>Fast</t>
        </is>
      </c>
      <c r="E10" s="9" t="n">
        <v>2</v>
      </c>
      <c r="F10" s="9" t="inlineStr">
        <is>
          <t>Cool</t>
        </is>
      </c>
      <c r="G10" s="29">
        <f>IF(C10="Cool",L9,M9)</f>
        <v/>
      </c>
      <c r="H10" s="29">
        <f>IF(F10="Overheated",0,IF(F10="Cool",L9,M9))</f>
        <v/>
      </c>
      <c r="I10" s="29">
        <f>E10+0.9*H10</f>
        <v/>
      </c>
      <c r="J10" s="29">
        <f>I10-G10</f>
        <v/>
      </c>
      <c r="K10" s="29">
        <f>G10+0.1*J10</f>
        <v/>
      </c>
      <c r="L10" s="29">
        <f>IF(C10="Cool",K10,L9)</f>
        <v/>
      </c>
      <c r="M10" s="29">
        <f>IF(C10="Warm",K10,M9)</f>
        <v/>
      </c>
    </row>
    <row r="11">
      <c r="A11" s="9" t="n">
        <v>5</v>
      </c>
      <c r="B11" s="9" t="n">
        <v>1</v>
      </c>
      <c r="C11" s="9" t="inlineStr">
        <is>
          <t>Cool</t>
        </is>
      </c>
      <c r="D11" s="9" t="inlineStr">
        <is>
          <t>Fast</t>
        </is>
      </c>
      <c r="E11" s="9" t="n">
        <v>2</v>
      </c>
      <c r="F11" s="9" t="inlineStr">
        <is>
          <t>Cool</t>
        </is>
      </c>
      <c r="G11" s="29">
        <f>IF(C11="Cool",L10,M10)</f>
        <v/>
      </c>
      <c r="H11" s="29">
        <f>IF(F11="Overheated",0,IF(F11="Cool",L10,M10))</f>
        <v/>
      </c>
      <c r="I11" s="29">
        <f>E11+0.9*H11</f>
        <v/>
      </c>
      <c r="J11" s="29">
        <f>I11-G11</f>
        <v/>
      </c>
      <c r="K11" s="29">
        <f>G11+0.1*J11</f>
        <v/>
      </c>
      <c r="L11" s="29">
        <f>IF(C11="Cool",K11,L10)</f>
        <v/>
      </c>
      <c r="M11" s="29">
        <f>IF(C11="Warm",K11,M10)</f>
        <v/>
      </c>
    </row>
    <row r="12">
      <c r="A12" s="9" t="n">
        <v>6</v>
      </c>
      <c r="B12" s="9" t="n">
        <v>1</v>
      </c>
      <c r="C12" s="9" t="inlineStr">
        <is>
          <t>Cool</t>
        </is>
      </c>
      <c r="D12" s="9" t="inlineStr">
        <is>
          <t>Fast</t>
        </is>
      </c>
      <c r="E12" s="9" t="n">
        <v>2</v>
      </c>
      <c r="F12" s="9" t="inlineStr">
        <is>
          <t>Cool</t>
        </is>
      </c>
      <c r="G12" s="29">
        <f>IF(C12="Cool",L11,M11)</f>
        <v/>
      </c>
      <c r="H12" s="29">
        <f>IF(F12="Overheated",0,IF(F12="Cool",L11,M11))</f>
        <v/>
      </c>
      <c r="I12" s="29">
        <f>E12+0.9*H12</f>
        <v/>
      </c>
      <c r="J12" s="29">
        <f>I12-G12</f>
        <v/>
      </c>
      <c r="K12" s="29">
        <f>G12+0.1*J12</f>
        <v/>
      </c>
      <c r="L12" s="29">
        <f>IF(C12="Cool",K12,L11)</f>
        <v/>
      </c>
      <c r="M12" s="29">
        <f>IF(C12="Warm",K12,M11)</f>
        <v/>
      </c>
    </row>
    <row r="13">
      <c r="A13" s="9" t="n">
        <v>7</v>
      </c>
      <c r="B13" s="9" t="n">
        <v>1</v>
      </c>
      <c r="C13" s="9" t="inlineStr">
        <is>
          <t>Cool</t>
        </is>
      </c>
      <c r="D13" s="9" t="inlineStr">
        <is>
          <t>Fast</t>
        </is>
      </c>
      <c r="E13" s="9" t="n">
        <v>2</v>
      </c>
      <c r="F13" s="9" t="inlineStr">
        <is>
          <t>Cool</t>
        </is>
      </c>
      <c r="G13" s="29">
        <f>IF(C13="Cool",L12,M12)</f>
        <v/>
      </c>
      <c r="H13" s="29">
        <f>IF(F13="Overheated",0,IF(F13="Cool",L12,M12))</f>
        <v/>
      </c>
      <c r="I13" s="29">
        <f>E13+0.9*H13</f>
        <v/>
      </c>
      <c r="J13" s="29">
        <f>I13-G13</f>
        <v/>
      </c>
      <c r="K13" s="29">
        <f>G13+0.1*J13</f>
        <v/>
      </c>
      <c r="L13" s="29">
        <f>IF(C13="Cool",K13,L12)</f>
        <v/>
      </c>
      <c r="M13" s="29">
        <f>IF(C13="Warm",K13,M12)</f>
        <v/>
      </c>
    </row>
    <row r="14">
      <c r="A14" s="9" t="n">
        <v>8</v>
      </c>
      <c r="B14" s="9" t="n">
        <v>1</v>
      </c>
      <c r="C14" s="9" t="inlineStr">
        <is>
          <t>Cool</t>
        </is>
      </c>
      <c r="D14" s="9" t="inlineStr">
        <is>
          <t>Fast</t>
        </is>
      </c>
      <c r="E14" s="9" t="n">
        <v>2</v>
      </c>
      <c r="F14" s="9" t="inlineStr">
        <is>
          <t>Warm</t>
        </is>
      </c>
      <c r="G14" s="29">
        <f>IF(C14="Cool",L13,M13)</f>
        <v/>
      </c>
      <c r="H14" s="29">
        <f>IF(F14="Overheated",0,IF(F14="Cool",L13,M13))</f>
        <v/>
      </c>
      <c r="I14" s="29">
        <f>E14+0.9*H14</f>
        <v/>
      </c>
      <c r="J14" s="29">
        <f>I14-G14</f>
        <v/>
      </c>
      <c r="K14" s="29">
        <f>G14+0.1*J14</f>
        <v/>
      </c>
      <c r="L14" s="29">
        <f>IF(C14="Cool",K14,L13)</f>
        <v/>
      </c>
      <c r="M14" s="29">
        <f>IF(C14="Warm",K14,M13)</f>
        <v/>
      </c>
    </row>
    <row r="15">
      <c r="A15" s="9" t="n">
        <v>9</v>
      </c>
      <c r="B15" s="9" t="n">
        <v>1</v>
      </c>
      <c r="C15" s="9" t="inlineStr">
        <is>
          <t>Warm</t>
        </is>
      </c>
      <c r="D15" s="9" t="inlineStr">
        <is>
          <t>Slow</t>
        </is>
      </c>
      <c r="E15" s="9" t="n">
        <v>1</v>
      </c>
      <c r="F15" s="9" t="inlineStr">
        <is>
          <t>Warm</t>
        </is>
      </c>
      <c r="G15" s="29">
        <f>IF(C15="Cool",L14,M14)</f>
        <v/>
      </c>
      <c r="H15" s="29">
        <f>IF(F15="Overheated",0,IF(F15="Cool",L14,M14))</f>
        <v/>
      </c>
      <c r="I15" s="29">
        <f>E15+0.9*H15</f>
        <v/>
      </c>
      <c r="J15" s="29">
        <f>I15-G15</f>
        <v/>
      </c>
      <c r="K15" s="29">
        <f>G15+0.1*J15</f>
        <v/>
      </c>
      <c r="L15" s="29">
        <f>IF(C15="Cool",K15,L14)</f>
        <v/>
      </c>
      <c r="M15" s="29">
        <f>IF(C15="Warm",K15,M14)</f>
        <v/>
      </c>
    </row>
    <row r="16">
      <c r="A16" s="9" t="n">
        <v>10</v>
      </c>
      <c r="B16" s="9" t="n">
        <v>1</v>
      </c>
      <c r="C16" s="9" t="inlineStr">
        <is>
          <t>Warm</t>
        </is>
      </c>
      <c r="D16" s="9" t="inlineStr">
        <is>
          <t>Slow</t>
        </is>
      </c>
      <c r="E16" s="9" t="n">
        <v>1</v>
      </c>
      <c r="F16" s="9" t="inlineStr">
        <is>
          <t>Cool</t>
        </is>
      </c>
      <c r="G16" s="29">
        <f>IF(C16="Cool",L15,M15)</f>
        <v/>
      </c>
      <c r="H16" s="29">
        <f>IF(F16="Overheated",0,IF(F16="Cool",L15,M15))</f>
        <v/>
      </c>
      <c r="I16" s="29">
        <f>E16+0.9*H16</f>
        <v/>
      </c>
      <c r="J16" s="29">
        <f>I16-G16</f>
        <v/>
      </c>
      <c r="K16" s="29">
        <f>G16+0.1*J16</f>
        <v/>
      </c>
      <c r="L16" s="29">
        <f>IF(C16="Cool",K16,L15)</f>
        <v/>
      </c>
      <c r="M16" s="29">
        <f>IF(C16="Warm",K16,M15)</f>
        <v/>
      </c>
    </row>
    <row r="17">
      <c r="A17" s="9" t="n">
        <v>11</v>
      </c>
      <c r="B17" s="9" t="n">
        <v>1</v>
      </c>
      <c r="C17" s="9" t="inlineStr">
        <is>
          <t>Cool</t>
        </is>
      </c>
      <c r="D17" s="9" t="inlineStr">
        <is>
          <t>Fast</t>
        </is>
      </c>
      <c r="E17" s="9" t="n">
        <v>2</v>
      </c>
      <c r="F17" s="9" t="inlineStr">
        <is>
          <t>Cool</t>
        </is>
      </c>
      <c r="G17" s="29">
        <f>IF(C17="Cool",L16,M16)</f>
        <v/>
      </c>
      <c r="H17" s="29">
        <f>IF(F17="Overheated",0,IF(F17="Cool",L16,M16))</f>
        <v/>
      </c>
      <c r="I17" s="29">
        <f>E17+0.9*H17</f>
        <v/>
      </c>
      <c r="J17" s="29">
        <f>I17-G17</f>
        <v/>
      </c>
      <c r="K17" s="29">
        <f>G17+0.1*J17</f>
        <v/>
      </c>
      <c r="L17" s="29">
        <f>IF(C17="Cool",K17,L16)</f>
        <v/>
      </c>
      <c r="M17" s="29">
        <f>IF(C17="Warm",K17,M16)</f>
        <v/>
      </c>
    </row>
    <row r="18">
      <c r="A18" s="9" t="n">
        <v>12</v>
      </c>
      <c r="B18" s="9" t="n">
        <v>1</v>
      </c>
      <c r="C18" s="9" t="inlineStr">
        <is>
          <t>Cool</t>
        </is>
      </c>
      <c r="D18" s="9" t="inlineStr">
        <is>
          <t>Fast</t>
        </is>
      </c>
      <c r="E18" s="9" t="n">
        <v>2</v>
      </c>
      <c r="F18" s="9" t="inlineStr">
        <is>
          <t>Warm</t>
        </is>
      </c>
      <c r="G18" s="29">
        <f>IF(C18="Cool",L17,M17)</f>
        <v/>
      </c>
      <c r="H18" s="29">
        <f>IF(F18="Overheated",0,IF(F18="Cool",L17,M17))</f>
        <v/>
      </c>
      <c r="I18" s="29">
        <f>E18+0.9*H18</f>
        <v/>
      </c>
      <c r="J18" s="29">
        <f>I18-G18</f>
        <v/>
      </c>
      <c r="K18" s="29">
        <f>G18+0.1*J18</f>
        <v/>
      </c>
      <c r="L18" s="29">
        <f>IF(C18="Cool",K18,L17)</f>
        <v/>
      </c>
      <c r="M18" s="29">
        <f>IF(C18="Warm",K18,M17)</f>
        <v/>
      </c>
    </row>
    <row r="19">
      <c r="A19" s="9" t="n">
        <v>13</v>
      </c>
      <c r="B19" s="9" t="n">
        <v>1</v>
      </c>
      <c r="C19" s="9" t="inlineStr">
        <is>
          <t>Warm</t>
        </is>
      </c>
      <c r="D19" s="9" t="inlineStr">
        <is>
          <t>Slow</t>
        </is>
      </c>
      <c r="E19" s="9" t="n">
        <v>1</v>
      </c>
      <c r="F19" s="9" t="inlineStr">
        <is>
          <t>Cool</t>
        </is>
      </c>
      <c r="G19" s="29">
        <f>IF(C19="Cool",L18,M18)</f>
        <v/>
      </c>
      <c r="H19" s="29">
        <f>IF(F19="Overheated",0,IF(F19="Cool",L18,M18))</f>
        <v/>
      </c>
      <c r="I19" s="29">
        <f>E19+0.9*H19</f>
        <v/>
      </c>
      <c r="J19" s="29">
        <f>I19-G19</f>
        <v/>
      </c>
      <c r="K19" s="29">
        <f>G19+0.1*J19</f>
        <v/>
      </c>
      <c r="L19" s="29">
        <f>IF(C19="Cool",K19,L18)</f>
        <v/>
      </c>
      <c r="M19" s="29">
        <f>IF(C19="Warm",K19,M18)</f>
        <v/>
      </c>
    </row>
    <row r="20">
      <c r="A20" s="9" t="n">
        <v>14</v>
      </c>
      <c r="B20" s="9" t="n">
        <v>1</v>
      </c>
      <c r="C20" s="9" t="inlineStr">
        <is>
          <t>Cool</t>
        </is>
      </c>
      <c r="D20" s="9" t="inlineStr">
        <is>
          <t>Slow</t>
        </is>
      </c>
      <c r="E20" s="9" t="n">
        <v>1</v>
      </c>
      <c r="F20" s="9" t="inlineStr">
        <is>
          <t>Warm</t>
        </is>
      </c>
      <c r="G20" s="29">
        <f>IF(C20="Cool",L19,M19)</f>
        <v/>
      </c>
      <c r="H20" s="29">
        <f>IF(F20="Overheated",0,IF(F20="Cool",L19,M19))</f>
        <v/>
      </c>
      <c r="I20" s="29">
        <f>E20+0.9*H20</f>
        <v/>
      </c>
      <c r="J20" s="29">
        <f>I20-G20</f>
        <v/>
      </c>
      <c r="K20" s="29">
        <f>G20+0.1*J20</f>
        <v/>
      </c>
      <c r="L20" s="29">
        <f>IF(C20="Cool",K20,L19)</f>
        <v/>
      </c>
      <c r="M20" s="29">
        <f>IF(C20="Warm",K20,M19)</f>
        <v/>
      </c>
    </row>
    <row r="21">
      <c r="A21" s="9" t="n">
        <v>15</v>
      </c>
      <c r="B21" s="9" t="n">
        <v>1</v>
      </c>
      <c r="C21" s="9" t="inlineStr">
        <is>
          <t>Warm</t>
        </is>
      </c>
      <c r="D21" s="9" t="inlineStr">
        <is>
          <t>Slow</t>
        </is>
      </c>
      <c r="E21" s="9" t="n">
        <v>1</v>
      </c>
      <c r="F21" s="9" t="inlineStr">
        <is>
          <t>Warm</t>
        </is>
      </c>
      <c r="G21" s="29">
        <f>IF(C21="Cool",L20,M20)</f>
        <v/>
      </c>
      <c r="H21" s="29">
        <f>IF(F21="Overheated",0,IF(F21="Cool",L20,M20))</f>
        <v/>
      </c>
      <c r="I21" s="29">
        <f>E21+0.9*H21</f>
        <v/>
      </c>
      <c r="J21" s="29">
        <f>I21-G21</f>
        <v/>
      </c>
      <c r="K21" s="29">
        <f>G21+0.1*J21</f>
        <v/>
      </c>
      <c r="L21" s="29">
        <f>IF(C21="Cool",K21,L20)</f>
        <v/>
      </c>
      <c r="M21" s="29">
        <f>IF(C21="Warm",K21,M20)</f>
        <v/>
      </c>
    </row>
    <row r="22">
      <c r="A22" s="9" t="n">
        <v>16</v>
      </c>
      <c r="B22" s="9" t="n">
        <v>1</v>
      </c>
      <c r="C22" s="9" t="inlineStr">
        <is>
          <t>Warm</t>
        </is>
      </c>
      <c r="D22" s="9" t="inlineStr">
        <is>
          <t>Slow</t>
        </is>
      </c>
      <c r="E22" s="9" t="n">
        <v>1</v>
      </c>
      <c r="F22" s="9" t="inlineStr">
        <is>
          <t>Warm</t>
        </is>
      </c>
      <c r="G22" s="29">
        <f>IF(C22="Cool",L21,M21)</f>
        <v/>
      </c>
      <c r="H22" s="29">
        <f>IF(F22="Overheated",0,IF(F22="Cool",L21,M21))</f>
        <v/>
      </c>
      <c r="I22" s="29">
        <f>E22+0.9*H22</f>
        <v/>
      </c>
      <c r="J22" s="29">
        <f>I22-G22</f>
        <v/>
      </c>
      <c r="K22" s="29">
        <f>G22+0.1*J22</f>
        <v/>
      </c>
      <c r="L22" s="29">
        <f>IF(C22="Cool",K22,L21)</f>
        <v/>
      </c>
      <c r="M22" s="29">
        <f>IF(C22="Warm",K22,M21)</f>
        <v/>
      </c>
    </row>
    <row r="23">
      <c r="A23" s="9" t="n">
        <v>17</v>
      </c>
      <c r="B23" s="9" t="n">
        <v>1</v>
      </c>
      <c r="C23" s="9" t="inlineStr">
        <is>
          <t>Warm</t>
        </is>
      </c>
      <c r="D23" s="9" t="inlineStr">
        <is>
          <t>Slow</t>
        </is>
      </c>
      <c r="E23" s="9" t="n">
        <v>1</v>
      </c>
      <c r="F23" s="9" t="inlineStr">
        <is>
          <t>Cool</t>
        </is>
      </c>
      <c r="G23" s="29">
        <f>IF(C23="Cool",L22,M22)</f>
        <v/>
      </c>
      <c r="H23" s="29">
        <f>IF(F23="Overheated",0,IF(F23="Cool",L22,M22))</f>
        <v/>
      </c>
      <c r="I23" s="29">
        <f>E23+0.9*H23</f>
        <v/>
      </c>
      <c r="J23" s="29">
        <f>I23-G23</f>
        <v/>
      </c>
      <c r="K23" s="29">
        <f>G23+0.1*J23</f>
        <v/>
      </c>
      <c r="L23" s="29">
        <f>IF(C23="Cool",K23,L22)</f>
        <v/>
      </c>
      <c r="M23" s="29">
        <f>IF(C23="Warm",K23,M22)</f>
        <v/>
      </c>
    </row>
    <row r="24">
      <c r="A24" s="9" t="n">
        <v>18</v>
      </c>
      <c r="B24" s="9" t="n">
        <v>1</v>
      </c>
      <c r="C24" s="9" t="inlineStr">
        <is>
          <t>Cool</t>
        </is>
      </c>
      <c r="D24" s="9" t="inlineStr">
        <is>
          <t>Fast</t>
        </is>
      </c>
      <c r="E24" s="9" t="n">
        <v>2</v>
      </c>
      <c r="F24" s="9" t="inlineStr">
        <is>
          <t>Cool</t>
        </is>
      </c>
      <c r="G24" s="29">
        <f>IF(C24="Cool",L23,M23)</f>
        <v/>
      </c>
      <c r="H24" s="29">
        <f>IF(F24="Overheated",0,IF(F24="Cool",L23,M23))</f>
        <v/>
      </c>
      <c r="I24" s="29">
        <f>E24+0.9*H24</f>
        <v/>
      </c>
      <c r="J24" s="29">
        <f>I24-G24</f>
        <v/>
      </c>
      <c r="K24" s="29">
        <f>G24+0.1*J24</f>
        <v/>
      </c>
      <c r="L24" s="29">
        <f>IF(C24="Cool",K24,L23)</f>
        <v/>
      </c>
      <c r="M24" s="29">
        <f>IF(C24="Warm",K24,M23)</f>
        <v/>
      </c>
    </row>
    <row r="25">
      <c r="A25" s="9" t="n">
        <v>19</v>
      </c>
      <c r="B25" s="9" t="n">
        <v>1</v>
      </c>
      <c r="C25" s="9" t="inlineStr">
        <is>
          <t>Cool</t>
        </is>
      </c>
      <c r="D25" s="9" t="inlineStr">
        <is>
          <t>Slow</t>
        </is>
      </c>
      <c r="E25" s="9" t="n">
        <v>1</v>
      </c>
      <c r="F25" s="9" t="inlineStr">
        <is>
          <t>Warm</t>
        </is>
      </c>
      <c r="G25" s="29">
        <f>IF(C25="Cool",L24,M24)</f>
        <v/>
      </c>
      <c r="H25" s="29">
        <f>IF(F25="Overheated",0,IF(F25="Cool",L24,M24))</f>
        <v/>
      </c>
      <c r="I25" s="29">
        <f>E25+0.9*H25</f>
        <v/>
      </c>
      <c r="J25" s="29">
        <f>I25-G25</f>
        <v/>
      </c>
      <c r="K25" s="29">
        <f>G25+0.1*J25</f>
        <v/>
      </c>
      <c r="L25" s="29">
        <f>IF(C25="Cool",K25,L24)</f>
        <v/>
      </c>
      <c r="M25" s="29">
        <f>IF(C25="Warm",K25,M24)</f>
        <v/>
      </c>
    </row>
    <row r="26">
      <c r="A26" s="9" t="n">
        <v>20</v>
      </c>
      <c r="B26" s="9" t="n">
        <v>1</v>
      </c>
      <c r="C26" s="9" t="inlineStr">
        <is>
          <t>Warm</t>
        </is>
      </c>
      <c r="D26" s="9" t="inlineStr">
        <is>
          <t>Slow</t>
        </is>
      </c>
      <c r="E26" s="9" t="n">
        <v>1</v>
      </c>
      <c r="F26" s="9" t="inlineStr">
        <is>
          <t>Warm</t>
        </is>
      </c>
      <c r="G26" s="29">
        <f>IF(C26="Cool",L25,M25)</f>
        <v/>
      </c>
      <c r="H26" s="29">
        <f>IF(F26="Overheated",0,IF(F26="Cool",L25,M25))</f>
        <v/>
      </c>
      <c r="I26" s="29">
        <f>E26+0.9*H26</f>
        <v/>
      </c>
      <c r="J26" s="29">
        <f>I26-G26</f>
        <v/>
      </c>
      <c r="K26" s="29">
        <f>G26+0.1*J26</f>
        <v/>
      </c>
      <c r="L26" s="29">
        <f>IF(C26="Cool",K26,L25)</f>
        <v/>
      </c>
      <c r="M26" s="29">
        <f>IF(C26="Warm",K26,M25)</f>
        <v/>
      </c>
    </row>
    <row r="27">
      <c r="A27" s="9" t="n">
        <v>21</v>
      </c>
      <c r="B27" s="9" t="n">
        <v>2</v>
      </c>
      <c r="C27" s="9" t="inlineStr">
        <is>
          <t>Cool</t>
        </is>
      </c>
      <c r="D27" s="9" t="inlineStr">
        <is>
          <t>Fast</t>
        </is>
      </c>
      <c r="E27" s="9" t="n">
        <v>2</v>
      </c>
      <c r="F27" s="9" t="inlineStr">
        <is>
          <t>Warm</t>
        </is>
      </c>
      <c r="G27" s="29">
        <f>IF(C27="Cool",L26,M26)</f>
        <v/>
      </c>
      <c r="H27" s="29">
        <f>IF(F27="Overheated",0,IF(F27="Cool",L26,M26))</f>
        <v/>
      </c>
      <c r="I27" s="29">
        <f>E27+0.9*H27</f>
        <v/>
      </c>
      <c r="J27" s="29">
        <f>I27-G27</f>
        <v/>
      </c>
      <c r="K27" s="29">
        <f>G27+0.1*J27</f>
        <v/>
      </c>
      <c r="L27" s="29">
        <f>IF(C27="Cool",K27,L26)</f>
        <v/>
      </c>
      <c r="M27" s="29">
        <f>IF(C27="Warm",K27,M26)</f>
        <v/>
      </c>
    </row>
    <row r="28">
      <c r="A28" s="9" t="n">
        <v>22</v>
      </c>
      <c r="B28" s="9" t="n">
        <v>2</v>
      </c>
      <c r="C28" s="9" t="inlineStr">
        <is>
          <t>Warm</t>
        </is>
      </c>
      <c r="D28" s="9" t="inlineStr">
        <is>
          <t>Slow</t>
        </is>
      </c>
      <c r="E28" s="9" t="n">
        <v>1</v>
      </c>
      <c r="F28" s="9" t="inlineStr">
        <is>
          <t>Cool</t>
        </is>
      </c>
      <c r="G28" s="29">
        <f>IF(C28="Cool",L27,M27)</f>
        <v/>
      </c>
      <c r="H28" s="29">
        <f>IF(F28="Overheated",0,IF(F28="Cool",L27,M27))</f>
        <v/>
      </c>
      <c r="I28" s="29">
        <f>E28+0.9*H28</f>
        <v/>
      </c>
      <c r="J28" s="29">
        <f>I28-G28</f>
        <v/>
      </c>
      <c r="K28" s="29">
        <f>G28+0.1*J28</f>
        <v/>
      </c>
      <c r="L28" s="29">
        <f>IF(C28="Cool",K28,L27)</f>
        <v/>
      </c>
      <c r="M28" s="29">
        <f>IF(C28="Warm",K28,M27)</f>
        <v/>
      </c>
    </row>
    <row r="29">
      <c r="A29" s="9" t="n">
        <v>23</v>
      </c>
      <c r="B29" s="9" t="n">
        <v>2</v>
      </c>
      <c r="C29" s="9" t="inlineStr">
        <is>
          <t>Cool</t>
        </is>
      </c>
      <c r="D29" s="9" t="inlineStr">
        <is>
          <t>Fast</t>
        </is>
      </c>
      <c r="E29" s="9" t="n">
        <v>2</v>
      </c>
      <c r="F29" s="9" t="inlineStr">
        <is>
          <t>Cool</t>
        </is>
      </c>
      <c r="G29" s="29">
        <f>IF(C29="Cool",L28,M28)</f>
        <v/>
      </c>
      <c r="H29" s="29">
        <f>IF(F29="Overheated",0,IF(F29="Cool",L28,M28))</f>
        <v/>
      </c>
      <c r="I29" s="29">
        <f>E29+0.9*H29</f>
        <v/>
      </c>
      <c r="J29" s="29">
        <f>I29-G29</f>
        <v/>
      </c>
      <c r="K29" s="29">
        <f>G29+0.1*J29</f>
        <v/>
      </c>
      <c r="L29" s="29">
        <f>IF(C29="Cool",K29,L28)</f>
        <v/>
      </c>
      <c r="M29" s="29">
        <f>IF(C29="Warm",K29,M28)</f>
        <v/>
      </c>
    </row>
    <row r="30">
      <c r="A30" s="9" t="n">
        <v>24</v>
      </c>
      <c r="B30" s="9" t="n">
        <v>2</v>
      </c>
      <c r="C30" s="9" t="inlineStr">
        <is>
          <t>Cool</t>
        </is>
      </c>
      <c r="D30" s="9" t="inlineStr">
        <is>
          <t>Fast</t>
        </is>
      </c>
      <c r="E30" s="9" t="n">
        <v>2</v>
      </c>
      <c r="F30" s="9" t="inlineStr">
        <is>
          <t>Cool</t>
        </is>
      </c>
      <c r="G30" s="29">
        <f>IF(C30="Cool",L29,M29)</f>
        <v/>
      </c>
      <c r="H30" s="29">
        <f>IF(F30="Overheated",0,IF(F30="Cool",L29,M29))</f>
        <v/>
      </c>
      <c r="I30" s="29">
        <f>E30+0.9*H30</f>
        <v/>
      </c>
      <c r="J30" s="29">
        <f>I30-G30</f>
        <v/>
      </c>
      <c r="K30" s="29">
        <f>G30+0.1*J30</f>
        <v/>
      </c>
      <c r="L30" s="29">
        <f>IF(C30="Cool",K30,L29)</f>
        <v/>
      </c>
      <c r="M30" s="29">
        <f>IF(C30="Warm",K30,M29)</f>
        <v/>
      </c>
    </row>
    <row r="31">
      <c r="A31" s="9" t="n">
        <v>25</v>
      </c>
      <c r="B31" s="9" t="n">
        <v>2</v>
      </c>
      <c r="C31" s="9" t="inlineStr">
        <is>
          <t>Cool</t>
        </is>
      </c>
      <c r="D31" s="9" t="inlineStr">
        <is>
          <t>Fast</t>
        </is>
      </c>
      <c r="E31" s="9" t="n">
        <v>2</v>
      </c>
      <c r="F31" s="9" t="inlineStr">
        <is>
          <t>Cool</t>
        </is>
      </c>
      <c r="G31" s="29">
        <f>IF(C31="Cool",L30,M30)</f>
        <v/>
      </c>
      <c r="H31" s="29">
        <f>IF(F31="Overheated",0,IF(F31="Cool",L30,M30))</f>
        <v/>
      </c>
      <c r="I31" s="29">
        <f>E31+0.9*H31</f>
        <v/>
      </c>
      <c r="J31" s="29">
        <f>I31-G31</f>
        <v/>
      </c>
      <c r="K31" s="29">
        <f>G31+0.1*J31</f>
        <v/>
      </c>
      <c r="L31" s="29">
        <f>IF(C31="Cool",K31,L30)</f>
        <v/>
      </c>
      <c r="M31" s="29">
        <f>IF(C31="Warm",K31,M30)</f>
        <v/>
      </c>
    </row>
    <row r="32">
      <c r="A32" s="9" t="n">
        <v>26</v>
      </c>
      <c r="B32" s="9" t="n">
        <v>2</v>
      </c>
      <c r="C32" s="9" t="inlineStr">
        <is>
          <t>Cool</t>
        </is>
      </c>
      <c r="D32" s="9" t="inlineStr">
        <is>
          <t>Fast</t>
        </is>
      </c>
      <c r="E32" s="9" t="n">
        <v>2</v>
      </c>
      <c r="F32" s="9" t="inlineStr">
        <is>
          <t>Warm</t>
        </is>
      </c>
      <c r="G32" s="29">
        <f>IF(C32="Cool",L31,M31)</f>
        <v/>
      </c>
      <c r="H32" s="29">
        <f>IF(F32="Overheated",0,IF(F32="Cool",L31,M31))</f>
        <v/>
      </c>
      <c r="I32" s="29">
        <f>E32+0.9*H32</f>
        <v/>
      </c>
      <c r="J32" s="29">
        <f>I32-G32</f>
        <v/>
      </c>
      <c r="K32" s="29">
        <f>G32+0.1*J32</f>
        <v/>
      </c>
      <c r="L32" s="29">
        <f>IF(C32="Cool",K32,L31)</f>
        <v/>
      </c>
      <c r="M32" s="29">
        <f>IF(C32="Warm",K32,M31)</f>
        <v/>
      </c>
    </row>
    <row r="33">
      <c r="A33" s="9" t="n">
        <v>27</v>
      </c>
      <c r="B33" s="9" t="n">
        <v>2</v>
      </c>
      <c r="C33" s="9" t="inlineStr">
        <is>
          <t>Warm</t>
        </is>
      </c>
      <c r="D33" s="9" t="inlineStr">
        <is>
          <t>Slow</t>
        </is>
      </c>
      <c r="E33" s="9" t="n">
        <v>1</v>
      </c>
      <c r="F33" s="9" t="inlineStr">
        <is>
          <t>Warm</t>
        </is>
      </c>
      <c r="G33" s="29">
        <f>IF(C33="Cool",L32,M32)</f>
        <v/>
      </c>
      <c r="H33" s="29">
        <f>IF(F33="Overheated",0,IF(F33="Cool",L32,M32))</f>
        <v/>
      </c>
      <c r="I33" s="29">
        <f>E33+0.9*H33</f>
        <v/>
      </c>
      <c r="J33" s="29">
        <f>I33-G33</f>
        <v/>
      </c>
      <c r="K33" s="29">
        <f>G33+0.1*J33</f>
        <v/>
      </c>
      <c r="L33" s="29">
        <f>IF(C33="Cool",K33,L32)</f>
        <v/>
      </c>
      <c r="M33" s="29">
        <f>IF(C33="Warm",K33,M32)</f>
        <v/>
      </c>
    </row>
    <row r="34">
      <c r="A34" s="9" t="n">
        <v>28</v>
      </c>
      <c r="B34" s="9" t="n">
        <v>2</v>
      </c>
      <c r="C34" s="9" t="inlineStr">
        <is>
          <t>Warm</t>
        </is>
      </c>
      <c r="D34" s="9" t="inlineStr">
        <is>
          <t>Slow</t>
        </is>
      </c>
      <c r="E34" s="9" t="n">
        <v>1</v>
      </c>
      <c r="F34" s="9" t="inlineStr">
        <is>
          <t>Warm</t>
        </is>
      </c>
      <c r="G34" s="29">
        <f>IF(C34="Cool",L33,M33)</f>
        <v/>
      </c>
      <c r="H34" s="29">
        <f>IF(F34="Overheated",0,IF(F34="Cool",L33,M33))</f>
        <v/>
      </c>
      <c r="I34" s="29">
        <f>E34+0.9*H34</f>
        <v/>
      </c>
      <c r="J34" s="29">
        <f>I34-G34</f>
        <v/>
      </c>
      <c r="K34" s="29">
        <f>G34+0.1*J34</f>
        <v/>
      </c>
      <c r="L34" s="29">
        <f>IF(C34="Cool",K34,L33)</f>
        <v/>
      </c>
      <c r="M34" s="29">
        <f>IF(C34="Warm",K34,M33)</f>
        <v/>
      </c>
    </row>
    <row r="35">
      <c r="A35" s="9" t="n">
        <v>29</v>
      </c>
      <c r="B35" s="9" t="n">
        <v>2</v>
      </c>
      <c r="C35" s="9" t="inlineStr">
        <is>
          <t>Warm</t>
        </is>
      </c>
      <c r="D35" s="9" t="inlineStr">
        <is>
          <t>Slow</t>
        </is>
      </c>
      <c r="E35" s="9" t="n">
        <v>1</v>
      </c>
      <c r="F35" s="9" t="inlineStr">
        <is>
          <t>Warm</t>
        </is>
      </c>
      <c r="G35" s="29">
        <f>IF(C35="Cool",L34,M34)</f>
        <v/>
      </c>
      <c r="H35" s="29">
        <f>IF(F35="Overheated",0,IF(F35="Cool",L34,M34))</f>
        <v/>
      </c>
      <c r="I35" s="29">
        <f>E35+0.9*H35</f>
        <v/>
      </c>
      <c r="J35" s="29">
        <f>I35-G35</f>
        <v/>
      </c>
      <c r="K35" s="29">
        <f>G35+0.1*J35</f>
        <v/>
      </c>
      <c r="L35" s="29">
        <f>IF(C35="Cool",K35,L34)</f>
        <v/>
      </c>
      <c r="M35" s="29">
        <f>IF(C35="Warm",K35,M34)</f>
        <v/>
      </c>
    </row>
    <row r="36">
      <c r="A36" s="9" t="n">
        <v>30</v>
      </c>
      <c r="B36" s="9" t="n">
        <v>2</v>
      </c>
      <c r="C36" s="9" t="inlineStr">
        <is>
          <t>Warm</t>
        </is>
      </c>
      <c r="D36" s="9" t="inlineStr">
        <is>
          <t>Slow</t>
        </is>
      </c>
      <c r="E36" s="9" t="n">
        <v>1</v>
      </c>
      <c r="F36" s="9" t="inlineStr">
        <is>
          <t>Cool</t>
        </is>
      </c>
      <c r="G36" s="29">
        <f>IF(C36="Cool",L35,M35)</f>
        <v/>
      </c>
      <c r="H36" s="29">
        <f>IF(F36="Overheated",0,IF(F36="Cool",L35,M35))</f>
        <v/>
      </c>
      <c r="I36" s="29">
        <f>E36+0.9*H36</f>
        <v/>
      </c>
      <c r="J36" s="29">
        <f>I36-G36</f>
        <v/>
      </c>
      <c r="K36" s="29">
        <f>G36+0.1*J36</f>
        <v/>
      </c>
      <c r="L36" s="29">
        <f>IF(C36="Cool",K36,L35)</f>
        <v/>
      </c>
      <c r="M36" s="29">
        <f>IF(C36="Warm",K36,M35)</f>
        <v/>
      </c>
    </row>
    <row r="37">
      <c r="A37" s="9" t="n">
        <v>31</v>
      </c>
      <c r="B37" s="9" t="n">
        <v>2</v>
      </c>
      <c r="C37" s="9" t="inlineStr">
        <is>
          <t>Cool</t>
        </is>
      </c>
      <c r="D37" s="9" t="inlineStr">
        <is>
          <t>Fast</t>
        </is>
      </c>
      <c r="E37" s="9" t="n">
        <v>2</v>
      </c>
      <c r="F37" s="9" t="inlineStr">
        <is>
          <t>Cool</t>
        </is>
      </c>
      <c r="G37" s="29">
        <f>IF(C37="Cool",L36,M36)</f>
        <v/>
      </c>
      <c r="H37" s="29">
        <f>IF(F37="Overheated",0,IF(F37="Cool",L36,M36))</f>
        <v/>
      </c>
      <c r="I37" s="29">
        <f>E37+0.9*H37</f>
        <v/>
      </c>
      <c r="J37" s="29">
        <f>I37-G37</f>
        <v/>
      </c>
      <c r="K37" s="29">
        <f>G37+0.1*J37</f>
        <v/>
      </c>
      <c r="L37" s="29">
        <f>IF(C37="Cool",K37,L36)</f>
        <v/>
      </c>
      <c r="M37" s="29">
        <f>IF(C37="Warm",K37,M36)</f>
        <v/>
      </c>
    </row>
    <row r="38">
      <c r="A38" s="9" t="n">
        <v>32</v>
      </c>
      <c r="B38" s="9" t="n">
        <v>2</v>
      </c>
      <c r="C38" s="9" t="inlineStr">
        <is>
          <t>Cool</t>
        </is>
      </c>
      <c r="D38" s="9" t="inlineStr">
        <is>
          <t>Fast</t>
        </is>
      </c>
      <c r="E38" s="9" t="n">
        <v>2</v>
      </c>
      <c r="F38" s="9" t="inlineStr">
        <is>
          <t>Cool</t>
        </is>
      </c>
      <c r="G38" s="29">
        <f>IF(C38="Cool",L37,M37)</f>
        <v/>
      </c>
      <c r="H38" s="29">
        <f>IF(F38="Overheated",0,IF(F38="Cool",L37,M37))</f>
        <v/>
      </c>
      <c r="I38" s="29">
        <f>E38+0.9*H38</f>
        <v/>
      </c>
      <c r="J38" s="29">
        <f>I38-G38</f>
        <v/>
      </c>
      <c r="K38" s="29">
        <f>G38+0.1*J38</f>
        <v/>
      </c>
      <c r="L38" s="29">
        <f>IF(C38="Cool",K38,L37)</f>
        <v/>
      </c>
      <c r="M38" s="29">
        <f>IF(C38="Warm",K38,M37)</f>
        <v/>
      </c>
    </row>
    <row r="39">
      <c r="A39" s="9" t="n">
        <v>33</v>
      </c>
      <c r="B39" s="9" t="n">
        <v>2</v>
      </c>
      <c r="C39" s="9" t="inlineStr">
        <is>
          <t>Cool</t>
        </is>
      </c>
      <c r="D39" s="9" t="inlineStr">
        <is>
          <t>Fast</t>
        </is>
      </c>
      <c r="E39" s="9" t="n">
        <v>2</v>
      </c>
      <c r="F39" s="9" t="inlineStr">
        <is>
          <t>Warm</t>
        </is>
      </c>
      <c r="G39" s="29">
        <f>IF(C39="Cool",L38,M38)</f>
        <v/>
      </c>
      <c r="H39" s="29">
        <f>IF(F39="Overheated",0,IF(F39="Cool",L38,M38))</f>
        <v/>
      </c>
      <c r="I39" s="29">
        <f>E39+0.9*H39</f>
        <v/>
      </c>
      <c r="J39" s="29">
        <f>I39-G39</f>
        <v/>
      </c>
      <c r="K39" s="29">
        <f>G39+0.1*J39</f>
        <v/>
      </c>
      <c r="L39" s="29">
        <f>IF(C39="Cool",K39,L38)</f>
        <v/>
      </c>
      <c r="M39" s="29">
        <f>IF(C39="Warm",K39,M38)</f>
        <v/>
      </c>
    </row>
    <row r="40">
      <c r="A40" s="9" t="n">
        <v>34</v>
      </c>
      <c r="B40" s="9" t="n">
        <v>2</v>
      </c>
      <c r="C40" s="9" t="inlineStr">
        <is>
          <t>Warm</t>
        </is>
      </c>
      <c r="D40" s="9" t="inlineStr">
        <is>
          <t>Slow</t>
        </is>
      </c>
      <c r="E40" s="9" t="n">
        <v>1</v>
      </c>
      <c r="F40" s="9" t="inlineStr">
        <is>
          <t>Cool</t>
        </is>
      </c>
      <c r="G40" s="29">
        <f>IF(C40="Cool",L39,M39)</f>
        <v/>
      </c>
      <c r="H40" s="29">
        <f>IF(F40="Overheated",0,IF(F40="Cool",L39,M39))</f>
        <v/>
      </c>
      <c r="I40" s="29">
        <f>E40+0.9*H40</f>
        <v/>
      </c>
      <c r="J40" s="29">
        <f>I40-G40</f>
        <v/>
      </c>
      <c r="K40" s="29">
        <f>G40+0.1*J40</f>
        <v/>
      </c>
      <c r="L40" s="29">
        <f>IF(C40="Cool",K40,L39)</f>
        <v/>
      </c>
      <c r="M40" s="29">
        <f>IF(C40="Warm",K40,M39)</f>
        <v/>
      </c>
    </row>
    <row r="41">
      <c r="A41" s="9" t="n">
        <v>35</v>
      </c>
      <c r="B41" s="9" t="n">
        <v>2</v>
      </c>
      <c r="C41" s="9" t="inlineStr">
        <is>
          <t>Cool</t>
        </is>
      </c>
      <c r="D41" s="9" t="inlineStr">
        <is>
          <t>Fast</t>
        </is>
      </c>
      <c r="E41" s="9" t="n">
        <v>2</v>
      </c>
      <c r="F41" s="9" t="inlineStr">
        <is>
          <t>Cool</t>
        </is>
      </c>
      <c r="G41" s="29">
        <f>IF(C41="Cool",L40,M40)</f>
        <v/>
      </c>
      <c r="H41" s="29">
        <f>IF(F41="Overheated",0,IF(F41="Cool",L40,M40))</f>
        <v/>
      </c>
      <c r="I41" s="29">
        <f>E41+0.9*H41</f>
        <v/>
      </c>
      <c r="J41" s="29">
        <f>I41-G41</f>
        <v/>
      </c>
      <c r="K41" s="29">
        <f>G41+0.1*J41</f>
        <v/>
      </c>
      <c r="L41" s="29">
        <f>IF(C41="Cool",K41,L40)</f>
        <v/>
      </c>
      <c r="M41" s="29">
        <f>IF(C41="Warm",K41,M40)</f>
        <v/>
      </c>
    </row>
    <row r="42">
      <c r="A42" s="9" t="n">
        <v>36</v>
      </c>
      <c r="B42" s="9" t="n">
        <v>2</v>
      </c>
      <c r="C42" s="9" t="inlineStr">
        <is>
          <t>Cool</t>
        </is>
      </c>
      <c r="D42" s="9" t="inlineStr">
        <is>
          <t>Fast</t>
        </is>
      </c>
      <c r="E42" s="9" t="n">
        <v>2</v>
      </c>
      <c r="F42" s="9" t="inlineStr">
        <is>
          <t>Cool</t>
        </is>
      </c>
      <c r="G42" s="29">
        <f>IF(C42="Cool",L41,M41)</f>
        <v/>
      </c>
      <c r="H42" s="29">
        <f>IF(F42="Overheated",0,IF(F42="Cool",L41,M41))</f>
        <v/>
      </c>
      <c r="I42" s="29">
        <f>E42+0.9*H42</f>
        <v/>
      </c>
      <c r="J42" s="29">
        <f>I42-G42</f>
        <v/>
      </c>
      <c r="K42" s="29">
        <f>G42+0.1*J42</f>
        <v/>
      </c>
      <c r="L42" s="29">
        <f>IF(C42="Cool",K42,L41)</f>
        <v/>
      </c>
      <c r="M42" s="29">
        <f>IF(C42="Warm",K42,M41)</f>
        <v/>
      </c>
    </row>
    <row r="43">
      <c r="A43" s="9" t="n">
        <v>37</v>
      </c>
      <c r="B43" s="9" t="n">
        <v>2</v>
      </c>
      <c r="C43" s="9" t="inlineStr">
        <is>
          <t>Cool</t>
        </is>
      </c>
      <c r="D43" s="9" t="inlineStr">
        <is>
          <t>Fast</t>
        </is>
      </c>
      <c r="E43" s="9" t="n">
        <v>2</v>
      </c>
      <c r="F43" s="9" t="inlineStr">
        <is>
          <t>Warm</t>
        </is>
      </c>
      <c r="G43" s="29">
        <f>IF(C43="Cool",L42,M42)</f>
        <v/>
      </c>
      <c r="H43" s="29">
        <f>IF(F43="Overheated",0,IF(F43="Cool",L42,M42))</f>
        <v/>
      </c>
      <c r="I43" s="29">
        <f>E43+0.9*H43</f>
        <v/>
      </c>
      <c r="J43" s="29">
        <f>I43-G43</f>
        <v/>
      </c>
      <c r="K43" s="29">
        <f>G43+0.1*J43</f>
        <v/>
      </c>
      <c r="L43" s="29">
        <f>IF(C43="Cool",K43,L42)</f>
        <v/>
      </c>
      <c r="M43" s="29">
        <f>IF(C43="Warm",K43,M42)</f>
        <v/>
      </c>
    </row>
    <row r="44">
      <c r="A44" s="9" t="n">
        <v>38</v>
      </c>
      <c r="B44" s="9" t="n">
        <v>2</v>
      </c>
      <c r="C44" s="9" t="inlineStr">
        <is>
          <t>Warm</t>
        </is>
      </c>
      <c r="D44" s="9" t="inlineStr">
        <is>
          <t>Slow</t>
        </is>
      </c>
      <c r="E44" s="9" t="n">
        <v>1</v>
      </c>
      <c r="F44" s="9" t="inlineStr">
        <is>
          <t>Cool</t>
        </is>
      </c>
      <c r="G44" s="29">
        <f>IF(C44="Cool",L43,M43)</f>
        <v/>
      </c>
      <c r="H44" s="29">
        <f>IF(F44="Overheated",0,IF(F44="Cool",L43,M43))</f>
        <v/>
      </c>
      <c r="I44" s="29">
        <f>E44+0.9*H44</f>
        <v/>
      </c>
      <c r="J44" s="29">
        <f>I44-G44</f>
        <v/>
      </c>
      <c r="K44" s="29">
        <f>G44+0.1*J44</f>
        <v/>
      </c>
      <c r="L44" s="29">
        <f>IF(C44="Cool",K44,L43)</f>
        <v/>
      </c>
      <c r="M44" s="29">
        <f>IF(C44="Warm",K44,M43)</f>
        <v/>
      </c>
    </row>
    <row r="45">
      <c r="A45" s="9" t="n">
        <v>39</v>
      </c>
      <c r="B45" s="9" t="n">
        <v>2</v>
      </c>
      <c r="C45" s="9" t="inlineStr">
        <is>
          <t>Cool</t>
        </is>
      </c>
      <c r="D45" s="9" t="inlineStr">
        <is>
          <t>Slow</t>
        </is>
      </c>
      <c r="E45" s="9" t="n">
        <v>1</v>
      </c>
      <c r="F45" s="9" t="inlineStr">
        <is>
          <t>Warm</t>
        </is>
      </c>
      <c r="G45" s="29">
        <f>IF(C45="Cool",L44,M44)</f>
        <v/>
      </c>
      <c r="H45" s="29">
        <f>IF(F45="Overheated",0,IF(F45="Cool",L44,M44))</f>
        <v/>
      </c>
      <c r="I45" s="29">
        <f>E45+0.9*H45</f>
        <v/>
      </c>
      <c r="J45" s="29">
        <f>I45-G45</f>
        <v/>
      </c>
      <c r="K45" s="29">
        <f>G45+0.1*J45</f>
        <v/>
      </c>
      <c r="L45" s="29">
        <f>IF(C45="Cool",K45,L44)</f>
        <v/>
      </c>
      <c r="M45" s="29">
        <f>IF(C45="Warm",K45,M44)</f>
        <v/>
      </c>
    </row>
    <row r="46">
      <c r="A46" s="9" t="n">
        <v>40</v>
      </c>
      <c r="B46" s="9" t="n">
        <v>2</v>
      </c>
      <c r="C46" s="9" t="inlineStr">
        <is>
          <t>Warm</t>
        </is>
      </c>
      <c r="D46" s="9" t="inlineStr">
        <is>
          <t>Slow</t>
        </is>
      </c>
      <c r="E46" s="9" t="n">
        <v>1</v>
      </c>
      <c r="F46" s="9" t="inlineStr">
        <is>
          <t>Warm</t>
        </is>
      </c>
      <c r="G46" s="29">
        <f>IF(C46="Cool",L45,M45)</f>
        <v/>
      </c>
      <c r="H46" s="29">
        <f>IF(F46="Overheated",0,IF(F46="Cool",L45,M45))</f>
        <v/>
      </c>
      <c r="I46" s="29">
        <f>E46+0.9*H46</f>
        <v/>
      </c>
      <c r="J46" s="29">
        <f>I46-G46</f>
        <v/>
      </c>
      <c r="K46" s="29">
        <f>G46+0.1*J46</f>
        <v/>
      </c>
      <c r="L46" s="29">
        <f>IF(C46="Cool",K46,L45)</f>
        <v/>
      </c>
      <c r="M46" s="29">
        <f>IF(C46="Warm",K46,M45)</f>
        <v/>
      </c>
    </row>
    <row r="47">
      <c r="A47" s="9" t="n">
        <v>41</v>
      </c>
      <c r="B47" s="9" t="n">
        <v>3</v>
      </c>
      <c r="C47" s="9" t="inlineStr">
        <is>
          <t>Cool</t>
        </is>
      </c>
      <c r="D47" s="9" t="inlineStr">
        <is>
          <t>Fast</t>
        </is>
      </c>
      <c r="E47" s="9" t="n">
        <v>2</v>
      </c>
      <c r="F47" s="9" t="inlineStr">
        <is>
          <t>Warm</t>
        </is>
      </c>
      <c r="G47" s="29">
        <f>IF(C47="Cool",L46,M46)</f>
        <v/>
      </c>
      <c r="H47" s="29">
        <f>IF(F47="Overheated",0,IF(F47="Cool",L46,M46))</f>
        <v/>
      </c>
      <c r="I47" s="29">
        <f>E47+0.9*H47</f>
        <v/>
      </c>
      <c r="J47" s="29">
        <f>I47-G47</f>
        <v/>
      </c>
      <c r="K47" s="29">
        <f>G47+0.1*J47</f>
        <v/>
      </c>
      <c r="L47" s="29">
        <f>IF(C47="Cool",K47,L46)</f>
        <v/>
      </c>
      <c r="M47" s="29">
        <f>IF(C47="Warm",K47,M46)</f>
        <v/>
      </c>
    </row>
    <row r="48">
      <c r="A48" s="9" t="n">
        <v>42</v>
      </c>
      <c r="B48" s="9" t="n">
        <v>3</v>
      </c>
      <c r="C48" s="9" t="inlineStr">
        <is>
          <t>Warm</t>
        </is>
      </c>
      <c r="D48" s="9" t="inlineStr">
        <is>
          <t>Slow</t>
        </is>
      </c>
      <c r="E48" s="9" t="n">
        <v>1</v>
      </c>
      <c r="F48" s="9" t="inlineStr">
        <is>
          <t>Cool</t>
        </is>
      </c>
      <c r="G48" s="29">
        <f>IF(C48="Cool",L47,M47)</f>
        <v/>
      </c>
      <c r="H48" s="29">
        <f>IF(F48="Overheated",0,IF(F48="Cool",L47,M47))</f>
        <v/>
      </c>
      <c r="I48" s="29">
        <f>E48+0.9*H48</f>
        <v/>
      </c>
      <c r="J48" s="29">
        <f>I48-G48</f>
        <v/>
      </c>
      <c r="K48" s="29">
        <f>G48+0.1*J48</f>
        <v/>
      </c>
      <c r="L48" s="29">
        <f>IF(C48="Cool",K48,L47)</f>
        <v/>
      </c>
      <c r="M48" s="29">
        <f>IF(C48="Warm",K48,M47)</f>
        <v/>
      </c>
    </row>
    <row r="49">
      <c r="A49" s="9" t="n">
        <v>43</v>
      </c>
      <c r="B49" s="9" t="n">
        <v>3</v>
      </c>
      <c r="C49" s="9" t="inlineStr">
        <is>
          <t>Cool</t>
        </is>
      </c>
      <c r="D49" s="9" t="inlineStr">
        <is>
          <t>Fast</t>
        </is>
      </c>
      <c r="E49" s="9" t="n">
        <v>2</v>
      </c>
      <c r="F49" s="9" t="inlineStr">
        <is>
          <t>Warm</t>
        </is>
      </c>
      <c r="G49" s="29">
        <f>IF(C49="Cool",L48,M48)</f>
        <v/>
      </c>
      <c r="H49" s="29">
        <f>IF(F49="Overheated",0,IF(F49="Cool",L48,M48))</f>
        <v/>
      </c>
      <c r="I49" s="29">
        <f>E49+0.9*H49</f>
        <v/>
      </c>
      <c r="J49" s="29">
        <f>I49-G49</f>
        <v/>
      </c>
      <c r="K49" s="29">
        <f>G49+0.1*J49</f>
        <v/>
      </c>
      <c r="L49" s="29">
        <f>IF(C49="Cool",K49,L48)</f>
        <v/>
      </c>
      <c r="M49" s="29">
        <f>IF(C49="Warm",K49,M48)</f>
        <v/>
      </c>
    </row>
    <row r="50">
      <c r="A50" s="9" t="n">
        <v>44</v>
      </c>
      <c r="B50" s="9" t="n">
        <v>3</v>
      </c>
      <c r="C50" s="9" t="inlineStr">
        <is>
          <t>Warm</t>
        </is>
      </c>
      <c r="D50" s="9" t="inlineStr">
        <is>
          <t>Slow</t>
        </is>
      </c>
      <c r="E50" s="9" t="n">
        <v>1</v>
      </c>
      <c r="F50" s="9" t="inlineStr">
        <is>
          <t>Warm</t>
        </is>
      </c>
      <c r="G50" s="29">
        <f>IF(C50="Cool",L49,M49)</f>
        <v/>
      </c>
      <c r="H50" s="29">
        <f>IF(F50="Overheated",0,IF(F50="Cool",L49,M49))</f>
        <v/>
      </c>
      <c r="I50" s="29">
        <f>E50+0.9*H50</f>
        <v/>
      </c>
      <c r="J50" s="29">
        <f>I50-G50</f>
        <v/>
      </c>
      <c r="K50" s="29">
        <f>G50+0.1*J50</f>
        <v/>
      </c>
      <c r="L50" s="29">
        <f>IF(C50="Cool",K50,L49)</f>
        <v/>
      </c>
      <c r="M50" s="29">
        <f>IF(C50="Warm",K50,M49)</f>
        <v/>
      </c>
    </row>
    <row r="51">
      <c r="A51" s="9" t="n">
        <v>45</v>
      </c>
      <c r="B51" s="9" t="n">
        <v>3</v>
      </c>
      <c r="C51" s="9" t="inlineStr">
        <is>
          <t>Warm</t>
        </is>
      </c>
      <c r="D51" s="9" t="inlineStr">
        <is>
          <t>Slow</t>
        </is>
      </c>
      <c r="E51" s="9" t="n">
        <v>1</v>
      </c>
      <c r="F51" s="9" t="inlineStr">
        <is>
          <t>Warm</t>
        </is>
      </c>
      <c r="G51" s="29">
        <f>IF(C51="Cool",L50,M50)</f>
        <v/>
      </c>
      <c r="H51" s="29">
        <f>IF(F51="Overheated",0,IF(F51="Cool",L50,M50))</f>
        <v/>
      </c>
      <c r="I51" s="29">
        <f>E51+0.9*H51</f>
        <v/>
      </c>
      <c r="J51" s="29">
        <f>I51-G51</f>
        <v/>
      </c>
      <c r="K51" s="29">
        <f>G51+0.1*J51</f>
        <v/>
      </c>
      <c r="L51" s="29">
        <f>IF(C51="Cool",K51,L50)</f>
        <v/>
      </c>
      <c r="M51" s="29">
        <f>IF(C51="Warm",K51,M50)</f>
        <v/>
      </c>
    </row>
    <row r="52">
      <c r="A52" s="9" t="n">
        <v>46</v>
      </c>
      <c r="B52" s="9" t="n">
        <v>3</v>
      </c>
      <c r="C52" s="9" t="inlineStr">
        <is>
          <t>Warm</t>
        </is>
      </c>
      <c r="D52" s="9" t="inlineStr">
        <is>
          <t>Slow</t>
        </is>
      </c>
      <c r="E52" s="9" t="n">
        <v>1</v>
      </c>
      <c r="F52" s="9" t="inlineStr">
        <is>
          <t>Cool</t>
        </is>
      </c>
      <c r="G52" s="29">
        <f>IF(C52="Cool",L51,M51)</f>
        <v/>
      </c>
      <c r="H52" s="29">
        <f>IF(F52="Overheated",0,IF(F52="Cool",L51,M51))</f>
        <v/>
      </c>
      <c r="I52" s="29">
        <f>E52+0.9*H52</f>
        <v/>
      </c>
      <c r="J52" s="29">
        <f>I52-G52</f>
        <v/>
      </c>
      <c r="K52" s="29">
        <f>G52+0.1*J52</f>
        <v/>
      </c>
      <c r="L52" s="29">
        <f>IF(C52="Cool",K52,L51)</f>
        <v/>
      </c>
      <c r="M52" s="29">
        <f>IF(C52="Warm",K52,M51)</f>
        <v/>
      </c>
    </row>
    <row r="53">
      <c r="A53" s="9" t="n">
        <v>47</v>
      </c>
      <c r="B53" s="9" t="n">
        <v>3</v>
      </c>
      <c r="C53" s="9" t="inlineStr">
        <is>
          <t>Cool</t>
        </is>
      </c>
      <c r="D53" s="9" t="inlineStr">
        <is>
          <t>Fast</t>
        </is>
      </c>
      <c r="E53" s="9" t="n">
        <v>2</v>
      </c>
      <c r="F53" s="9" t="inlineStr">
        <is>
          <t>Cool</t>
        </is>
      </c>
      <c r="G53" s="29">
        <f>IF(C53="Cool",L52,M52)</f>
        <v/>
      </c>
      <c r="H53" s="29">
        <f>IF(F53="Overheated",0,IF(F53="Cool",L52,M52))</f>
        <v/>
      </c>
      <c r="I53" s="29">
        <f>E53+0.9*H53</f>
        <v/>
      </c>
      <c r="J53" s="29">
        <f>I53-G53</f>
        <v/>
      </c>
      <c r="K53" s="29">
        <f>G53+0.1*J53</f>
        <v/>
      </c>
      <c r="L53" s="29">
        <f>IF(C53="Cool",K53,L52)</f>
        <v/>
      </c>
      <c r="M53" s="29">
        <f>IF(C53="Warm",K53,M52)</f>
        <v/>
      </c>
    </row>
    <row r="54">
      <c r="A54" s="9" t="n">
        <v>48</v>
      </c>
      <c r="B54" s="9" t="n">
        <v>3</v>
      </c>
      <c r="C54" s="9" t="inlineStr">
        <is>
          <t>Cool</t>
        </is>
      </c>
      <c r="D54" s="9" t="inlineStr">
        <is>
          <t>Fast</t>
        </is>
      </c>
      <c r="E54" s="9" t="n">
        <v>2</v>
      </c>
      <c r="F54" s="9" t="inlineStr">
        <is>
          <t>Cool</t>
        </is>
      </c>
      <c r="G54" s="29">
        <f>IF(C54="Cool",L53,M53)</f>
        <v/>
      </c>
      <c r="H54" s="29">
        <f>IF(F54="Overheated",0,IF(F54="Cool",L53,M53))</f>
        <v/>
      </c>
      <c r="I54" s="29">
        <f>E54+0.9*H54</f>
        <v/>
      </c>
      <c r="J54" s="29">
        <f>I54-G54</f>
        <v/>
      </c>
      <c r="K54" s="29">
        <f>G54+0.1*J54</f>
        <v/>
      </c>
      <c r="L54" s="29">
        <f>IF(C54="Cool",K54,L53)</f>
        <v/>
      </c>
      <c r="M54" s="29">
        <f>IF(C54="Warm",K54,M53)</f>
        <v/>
      </c>
    </row>
    <row r="55">
      <c r="A55" s="9" t="n">
        <v>49</v>
      </c>
      <c r="B55" s="9" t="n">
        <v>3</v>
      </c>
      <c r="C55" s="9" t="inlineStr">
        <is>
          <t>Cool</t>
        </is>
      </c>
      <c r="D55" s="9" t="inlineStr">
        <is>
          <t>Fast</t>
        </is>
      </c>
      <c r="E55" s="9" t="n">
        <v>2</v>
      </c>
      <c r="F55" s="9" t="inlineStr">
        <is>
          <t>Cool</t>
        </is>
      </c>
      <c r="G55" s="29">
        <f>IF(C55="Cool",L54,M54)</f>
        <v/>
      </c>
      <c r="H55" s="29">
        <f>IF(F55="Overheated",0,IF(F55="Cool",L54,M54))</f>
        <v/>
      </c>
      <c r="I55" s="29">
        <f>E55+0.9*H55</f>
        <v/>
      </c>
      <c r="J55" s="29">
        <f>I55-G55</f>
        <v/>
      </c>
      <c r="K55" s="29">
        <f>G55+0.1*J55</f>
        <v/>
      </c>
      <c r="L55" s="29">
        <f>IF(C55="Cool",K55,L54)</f>
        <v/>
      </c>
      <c r="M55" s="29">
        <f>IF(C55="Warm",K55,M54)</f>
        <v/>
      </c>
    </row>
    <row r="56">
      <c r="A56" s="9" t="n">
        <v>50</v>
      </c>
      <c r="B56" s="9" t="n">
        <v>3</v>
      </c>
      <c r="C56" s="9" t="inlineStr">
        <is>
          <t>Cool</t>
        </is>
      </c>
      <c r="D56" s="9" t="inlineStr">
        <is>
          <t>Fast</t>
        </is>
      </c>
      <c r="E56" s="9" t="n">
        <v>2</v>
      </c>
      <c r="F56" s="9" t="inlineStr">
        <is>
          <t>Warm</t>
        </is>
      </c>
      <c r="G56" s="29">
        <f>IF(C56="Cool",L55,M55)</f>
        <v/>
      </c>
      <c r="H56" s="29">
        <f>IF(F56="Overheated",0,IF(F56="Cool",L55,M55))</f>
        <v/>
      </c>
      <c r="I56" s="29">
        <f>E56+0.9*H56</f>
        <v/>
      </c>
      <c r="J56" s="29">
        <f>I56-G56</f>
        <v/>
      </c>
      <c r="K56" s="29">
        <f>G56+0.1*J56</f>
        <v/>
      </c>
      <c r="L56" s="29">
        <f>IF(C56="Cool",K56,L55)</f>
        <v/>
      </c>
      <c r="M56" s="29">
        <f>IF(C56="Warm",K56,M55)</f>
        <v/>
      </c>
    </row>
    <row r="57">
      <c r="A57" s="9" t="n">
        <v>51</v>
      </c>
      <c r="B57" s="9" t="n">
        <v>3</v>
      </c>
      <c r="C57" s="9" t="inlineStr">
        <is>
          <t>Warm</t>
        </is>
      </c>
      <c r="D57" s="9" t="inlineStr">
        <is>
          <t>Slow</t>
        </is>
      </c>
      <c r="E57" s="9" t="n">
        <v>1</v>
      </c>
      <c r="F57" s="9" t="inlineStr">
        <is>
          <t>Warm</t>
        </is>
      </c>
      <c r="G57" s="29">
        <f>IF(C57="Cool",L56,M56)</f>
        <v/>
      </c>
      <c r="H57" s="29">
        <f>IF(F57="Overheated",0,IF(F57="Cool",L56,M56))</f>
        <v/>
      </c>
      <c r="I57" s="29">
        <f>E57+0.9*H57</f>
        <v/>
      </c>
      <c r="J57" s="29">
        <f>I57-G57</f>
        <v/>
      </c>
      <c r="K57" s="29">
        <f>G57+0.1*J57</f>
        <v/>
      </c>
      <c r="L57" s="29">
        <f>IF(C57="Cool",K57,L56)</f>
        <v/>
      </c>
      <c r="M57" s="29">
        <f>IF(C57="Warm",K57,M56)</f>
        <v/>
      </c>
    </row>
    <row r="58">
      <c r="A58" s="9" t="n">
        <v>52</v>
      </c>
      <c r="B58" s="9" t="n">
        <v>3</v>
      </c>
      <c r="C58" s="9" t="inlineStr">
        <is>
          <t>Warm</t>
        </is>
      </c>
      <c r="D58" s="9" t="inlineStr">
        <is>
          <t>Slow</t>
        </is>
      </c>
      <c r="E58" s="9" t="n">
        <v>1</v>
      </c>
      <c r="F58" s="9" t="inlineStr">
        <is>
          <t>Warm</t>
        </is>
      </c>
      <c r="G58" s="29">
        <f>IF(C58="Cool",L57,M57)</f>
        <v/>
      </c>
      <c r="H58" s="29">
        <f>IF(F58="Overheated",0,IF(F58="Cool",L57,M57))</f>
        <v/>
      </c>
      <c r="I58" s="29">
        <f>E58+0.9*H58</f>
        <v/>
      </c>
      <c r="J58" s="29">
        <f>I58-G58</f>
        <v/>
      </c>
      <c r="K58" s="29">
        <f>G58+0.1*J58</f>
        <v/>
      </c>
      <c r="L58" s="29">
        <f>IF(C58="Cool",K58,L57)</f>
        <v/>
      </c>
      <c r="M58" s="29">
        <f>IF(C58="Warm",K58,M57)</f>
        <v/>
      </c>
    </row>
    <row r="59">
      <c r="A59" s="9" t="n">
        <v>53</v>
      </c>
      <c r="B59" s="9" t="n">
        <v>3</v>
      </c>
      <c r="C59" s="9" t="inlineStr">
        <is>
          <t>Warm</t>
        </is>
      </c>
      <c r="D59" s="9" t="inlineStr">
        <is>
          <t>Slow</t>
        </is>
      </c>
      <c r="E59" s="9" t="n">
        <v>1</v>
      </c>
      <c r="F59" s="9" t="inlineStr">
        <is>
          <t>Cool</t>
        </is>
      </c>
      <c r="G59" s="29">
        <f>IF(C59="Cool",L58,M58)</f>
        <v/>
      </c>
      <c r="H59" s="29">
        <f>IF(F59="Overheated",0,IF(F59="Cool",L58,M58))</f>
        <v/>
      </c>
      <c r="I59" s="29">
        <f>E59+0.9*H59</f>
        <v/>
      </c>
      <c r="J59" s="29">
        <f>I59-G59</f>
        <v/>
      </c>
      <c r="K59" s="29">
        <f>G59+0.1*J59</f>
        <v/>
      </c>
      <c r="L59" s="29">
        <f>IF(C59="Cool",K59,L58)</f>
        <v/>
      </c>
      <c r="M59" s="29">
        <f>IF(C59="Warm",K59,M58)</f>
        <v/>
      </c>
    </row>
    <row r="60">
      <c r="A60" s="9" t="n">
        <v>54</v>
      </c>
      <c r="B60" s="9" t="n">
        <v>3</v>
      </c>
      <c r="C60" s="9" t="inlineStr">
        <is>
          <t>Cool</t>
        </is>
      </c>
      <c r="D60" s="9" t="inlineStr">
        <is>
          <t>Fast</t>
        </is>
      </c>
      <c r="E60" s="9" t="n">
        <v>2</v>
      </c>
      <c r="F60" s="9" t="inlineStr">
        <is>
          <t>Cool</t>
        </is>
      </c>
      <c r="G60" s="29">
        <f>IF(C60="Cool",L59,M59)</f>
        <v/>
      </c>
      <c r="H60" s="29">
        <f>IF(F60="Overheated",0,IF(F60="Cool",L59,M59))</f>
        <v/>
      </c>
      <c r="I60" s="29">
        <f>E60+0.9*H60</f>
        <v/>
      </c>
      <c r="J60" s="29">
        <f>I60-G60</f>
        <v/>
      </c>
      <c r="K60" s="29">
        <f>G60+0.1*J60</f>
        <v/>
      </c>
      <c r="L60" s="29">
        <f>IF(C60="Cool",K60,L59)</f>
        <v/>
      </c>
      <c r="M60" s="29">
        <f>IF(C60="Warm",K60,M59)</f>
        <v/>
      </c>
    </row>
    <row r="61">
      <c r="A61" s="9" t="n">
        <v>55</v>
      </c>
      <c r="B61" s="9" t="n">
        <v>3</v>
      </c>
      <c r="C61" s="9" t="inlineStr">
        <is>
          <t>Cool</t>
        </is>
      </c>
      <c r="D61" s="9" t="inlineStr">
        <is>
          <t>Fast</t>
        </is>
      </c>
      <c r="E61" s="9" t="n">
        <v>2</v>
      </c>
      <c r="F61" s="9" t="inlineStr">
        <is>
          <t>Warm</t>
        </is>
      </c>
      <c r="G61" s="29">
        <f>IF(C61="Cool",L60,M60)</f>
        <v/>
      </c>
      <c r="H61" s="29">
        <f>IF(F61="Overheated",0,IF(F61="Cool",L60,M60))</f>
        <v/>
      </c>
      <c r="I61" s="29">
        <f>E61+0.9*H61</f>
        <v/>
      </c>
      <c r="J61" s="29">
        <f>I61-G61</f>
        <v/>
      </c>
      <c r="K61" s="29">
        <f>G61+0.1*J61</f>
        <v/>
      </c>
      <c r="L61" s="29">
        <f>IF(C61="Cool",K61,L60)</f>
        <v/>
      </c>
      <c r="M61" s="29">
        <f>IF(C61="Warm",K61,M60)</f>
        <v/>
      </c>
    </row>
    <row r="62">
      <c r="A62" s="9" t="n">
        <v>56</v>
      </c>
      <c r="B62" s="9" t="n">
        <v>3</v>
      </c>
      <c r="C62" s="9" t="inlineStr">
        <is>
          <t>Warm</t>
        </is>
      </c>
      <c r="D62" s="9" t="inlineStr">
        <is>
          <t>Slow</t>
        </is>
      </c>
      <c r="E62" s="9" t="n">
        <v>1</v>
      </c>
      <c r="F62" s="9" t="inlineStr">
        <is>
          <t>Warm</t>
        </is>
      </c>
      <c r="G62" s="29">
        <f>IF(C62="Cool",L61,M61)</f>
        <v/>
      </c>
      <c r="H62" s="29">
        <f>IF(F62="Overheated",0,IF(F62="Cool",L61,M61))</f>
        <v/>
      </c>
      <c r="I62" s="29">
        <f>E62+0.9*H62</f>
        <v/>
      </c>
      <c r="J62" s="29">
        <f>I62-G62</f>
        <v/>
      </c>
      <c r="K62" s="29">
        <f>G62+0.1*J62</f>
        <v/>
      </c>
      <c r="L62" s="29">
        <f>IF(C62="Cool",K62,L61)</f>
        <v/>
      </c>
      <c r="M62" s="29">
        <f>IF(C62="Warm",K62,M61)</f>
        <v/>
      </c>
    </row>
    <row r="63">
      <c r="A63" s="9" t="n">
        <v>57</v>
      </c>
      <c r="B63" s="9" t="n">
        <v>3</v>
      </c>
      <c r="C63" s="9" t="inlineStr">
        <is>
          <t>Warm</t>
        </is>
      </c>
      <c r="D63" s="9" t="inlineStr">
        <is>
          <t>Slow</t>
        </is>
      </c>
      <c r="E63" s="9" t="n">
        <v>1</v>
      </c>
      <c r="F63" s="9" t="inlineStr">
        <is>
          <t>Warm</t>
        </is>
      </c>
      <c r="G63" s="29">
        <f>IF(C63="Cool",L62,M62)</f>
        <v/>
      </c>
      <c r="H63" s="29">
        <f>IF(F63="Overheated",0,IF(F63="Cool",L62,M62))</f>
        <v/>
      </c>
      <c r="I63" s="29">
        <f>E63+0.9*H63</f>
        <v/>
      </c>
      <c r="J63" s="29">
        <f>I63-G63</f>
        <v/>
      </c>
      <c r="K63" s="29">
        <f>G63+0.1*J63</f>
        <v/>
      </c>
      <c r="L63" s="29">
        <f>IF(C63="Cool",K63,L62)</f>
        <v/>
      </c>
      <c r="M63" s="29">
        <f>IF(C63="Warm",K63,M62)</f>
        <v/>
      </c>
    </row>
    <row r="64">
      <c r="A64" s="9" t="n">
        <v>58</v>
      </c>
      <c r="B64" s="9" t="n">
        <v>3</v>
      </c>
      <c r="C64" s="9" t="inlineStr">
        <is>
          <t>Warm</t>
        </is>
      </c>
      <c r="D64" s="9" t="inlineStr">
        <is>
          <t>Slow</t>
        </is>
      </c>
      <c r="E64" s="9" t="n">
        <v>1</v>
      </c>
      <c r="F64" s="9" t="inlineStr">
        <is>
          <t>Cool</t>
        </is>
      </c>
      <c r="G64" s="29">
        <f>IF(C64="Cool",L63,M63)</f>
        <v/>
      </c>
      <c r="H64" s="29">
        <f>IF(F64="Overheated",0,IF(F64="Cool",L63,M63))</f>
        <v/>
      </c>
      <c r="I64" s="29">
        <f>E64+0.9*H64</f>
        <v/>
      </c>
      <c r="J64" s="29">
        <f>I64-G64</f>
        <v/>
      </c>
      <c r="K64" s="29">
        <f>G64+0.1*J64</f>
        <v/>
      </c>
      <c r="L64" s="29">
        <f>IF(C64="Cool",K64,L63)</f>
        <v/>
      </c>
      <c r="M64" s="29">
        <f>IF(C64="Warm",K64,M63)</f>
        <v/>
      </c>
    </row>
    <row r="65">
      <c r="A65" s="9" t="n">
        <v>59</v>
      </c>
      <c r="B65" s="9" t="n">
        <v>3</v>
      </c>
      <c r="C65" s="9" t="inlineStr">
        <is>
          <t>Cool</t>
        </is>
      </c>
      <c r="D65" s="9" t="inlineStr">
        <is>
          <t>Slow</t>
        </is>
      </c>
      <c r="E65" s="9" t="n">
        <v>1</v>
      </c>
      <c r="F65" s="9" t="inlineStr">
        <is>
          <t>Warm</t>
        </is>
      </c>
      <c r="G65" s="29">
        <f>IF(C65="Cool",L64,M64)</f>
        <v/>
      </c>
      <c r="H65" s="29">
        <f>IF(F65="Overheated",0,IF(F65="Cool",L64,M64))</f>
        <v/>
      </c>
      <c r="I65" s="29">
        <f>E65+0.9*H65</f>
        <v/>
      </c>
      <c r="J65" s="29">
        <f>I65-G65</f>
        <v/>
      </c>
      <c r="K65" s="29">
        <f>G65+0.1*J65</f>
        <v/>
      </c>
      <c r="L65" s="29">
        <f>IF(C65="Cool",K65,L64)</f>
        <v/>
      </c>
      <c r="M65" s="29">
        <f>IF(C65="Warm",K65,M64)</f>
        <v/>
      </c>
    </row>
    <row r="66">
      <c r="A66" s="20" t="n">
        <v>60</v>
      </c>
      <c r="B66" s="20" t="n">
        <v>3</v>
      </c>
      <c r="C66" s="20" t="inlineStr">
        <is>
          <t>Warm</t>
        </is>
      </c>
      <c r="D66" s="20" t="inlineStr">
        <is>
          <t>Fast</t>
        </is>
      </c>
      <c r="E66" s="20" t="n">
        <v>-10</v>
      </c>
      <c r="F66" s="20" t="inlineStr">
        <is>
          <t>Overheated</t>
        </is>
      </c>
      <c r="G66" s="29">
        <f>IF(C66="Cool",L65,M65)</f>
        <v/>
      </c>
      <c r="H66" s="29">
        <f>IF(F66="Overheated",0,IF(F66="Cool",L65,M65))</f>
        <v/>
      </c>
      <c r="I66" s="29">
        <f>E66+0.9*H66</f>
        <v/>
      </c>
      <c r="J66" s="29">
        <f>I66-G66</f>
        <v/>
      </c>
      <c r="K66" s="29">
        <f>G66+0.1*J66</f>
        <v/>
      </c>
      <c r="L66" s="29">
        <f>IF(C66="Cool",K66,L65)</f>
        <v/>
      </c>
      <c r="M66" s="29">
        <f>IF(C66="Warm",K66,M65)</f>
        <v/>
      </c>
    </row>
    <row r="67">
      <c r="A67" s="9" t="n">
        <v>61</v>
      </c>
      <c r="B67" s="9" t="n">
        <v>4</v>
      </c>
      <c r="C67" s="9" t="inlineStr">
        <is>
          <t>Cool</t>
        </is>
      </c>
      <c r="D67" s="9" t="inlineStr">
        <is>
          <t>Fast</t>
        </is>
      </c>
      <c r="E67" s="9" t="n">
        <v>2</v>
      </c>
      <c r="F67" s="9" t="inlineStr">
        <is>
          <t>Cool</t>
        </is>
      </c>
      <c r="G67" s="29">
        <f>IF(C67="Cool",L66,M66)</f>
        <v/>
      </c>
      <c r="H67" s="29">
        <f>IF(F67="Overheated",0,IF(F67="Cool",L66,M66))</f>
        <v/>
      </c>
      <c r="I67" s="29">
        <f>E67+0.9*H67</f>
        <v/>
      </c>
      <c r="J67" s="29">
        <f>I67-G67</f>
        <v/>
      </c>
      <c r="K67" s="29">
        <f>G67+0.1*J67</f>
        <v/>
      </c>
      <c r="L67" s="29">
        <f>IF(C67="Cool",K67,L66)</f>
        <v/>
      </c>
      <c r="M67" s="29">
        <f>IF(C67="Warm",K67,M66)</f>
        <v/>
      </c>
    </row>
    <row r="68">
      <c r="A68" s="9" t="n">
        <v>62</v>
      </c>
      <c r="B68" s="9" t="n">
        <v>4</v>
      </c>
      <c r="C68" s="9" t="inlineStr">
        <is>
          <t>Cool</t>
        </is>
      </c>
      <c r="D68" s="9" t="inlineStr">
        <is>
          <t>Fast</t>
        </is>
      </c>
      <c r="E68" s="9" t="n">
        <v>2</v>
      </c>
      <c r="F68" s="9" t="inlineStr">
        <is>
          <t>Warm</t>
        </is>
      </c>
      <c r="G68" s="29">
        <f>IF(C68="Cool",L67,M67)</f>
        <v/>
      </c>
      <c r="H68" s="29">
        <f>IF(F68="Overheated",0,IF(F68="Cool",L67,M67))</f>
        <v/>
      </c>
      <c r="I68" s="29">
        <f>E68+0.9*H68</f>
        <v/>
      </c>
      <c r="J68" s="29">
        <f>I68-G68</f>
        <v/>
      </c>
      <c r="K68" s="29">
        <f>G68+0.1*J68</f>
        <v/>
      </c>
      <c r="L68" s="29">
        <f>IF(C68="Cool",K68,L67)</f>
        <v/>
      </c>
      <c r="M68" s="29">
        <f>IF(C68="Warm",K68,M67)</f>
        <v/>
      </c>
    </row>
    <row r="69">
      <c r="A69" s="9" t="n">
        <v>63</v>
      </c>
      <c r="B69" s="9" t="n">
        <v>4</v>
      </c>
      <c r="C69" s="9" t="inlineStr">
        <is>
          <t>Warm</t>
        </is>
      </c>
      <c r="D69" s="9" t="inlineStr">
        <is>
          <t>Slow</t>
        </is>
      </c>
      <c r="E69" s="9" t="n">
        <v>1</v>
      </c>
      <c r="F69" s="9" t="inlineStr">
        <is>
          <t>Cool</t>
        </is>
      </c>
      <c r="G69" s="29">
        <f>IF(C69="Cool",L68,M68)</f>
        <v/>
      </c>
      <c r="H69" s="29">
        <f>IF(F69="Overheated",0,IF(F69="Cool",L68,M68))</f>
        <v/>
      </c>
      <c r="I69" s="29">
        <f>E69+0.9*H69</f>
        <v/>
      </c>
      <c r="J69" s="29">
        <f>I69-G69</f>
        <v/>
      </c>
      <c r="K69" s="29">
        <f>G69+0.1*J69</f>
        <v/>
      </c>
      <c r="L69" s="29">
        <f>IF(C69="Cool",K69,L68)</f>
        <v/>
      </c>
      <c r="M69" s="29">
        <f>IF(C69="Warm",K69,M68)</f>
        <v/>
      </c>
    </row>
    <row r="70">
      <c r="A70" s="9" t="n">
        <v>64</v>
      </c>
      <c r="B70" s="9" t="n">
        <v>4</v>
      </c>
      <c r="C70" s="9" t="inlineStr">
        <is>
          <t>Cool</t>
        </is>
      </c>
      <c r="D70" s="9" t="inlineStr">
        <is>
          <t>Fast</t>
        </is>
      </c>
      <c r="E70" s="9" t="n">
        <v>2</v>
      </c>
      <c r="F70" s="9" t="inlineStr">
        <is>
          <t>Cool</t>
        </is>
      </c>
      <c r="G70" s="29">
        <f>IF(C70="Cool",L69,M69)</f>
        <v/>
      </c>
      <c r="H70" s="29">
        <f>IF(F70="Overheated",0,IF(F70="Cool",L69,M69))</f>
        <v/>
      </c>
      <c r="I70" s="29">
        <f>E70+0.9*H70</f>
        <v/>
      </c>
      <c r="J70" s="29">
        <f>I70-G70</f>
        <v/>
      </c>
      <c r="K70" s="29">
        <f>G70+0.1*J70</f>
        <v/>
      </c>
      <c r="L70" s="29">
        <f>IF(C70="Cool",K70,L69)</f>
        <v/>
      </c>
      <c r="M70" s="29">
        <f>IF(C70="Warm",K70,M69)</f>
        <v/>
      </c>
    </row>
    <row r="71">
      <c r="A71" s="9" t="n">
        <v>65</v>
      </c>
      <c r="B71" s="9" t="n">
        <v>4</v>
      </c>
      <c r="C71" s="9" t="inlineStr">
        <is>
          <t>Cool</t>
        </is>
      </c>
      <c r="D71" s="9" t="inlineStr">
        <is>
          <t>Fast</t>
        </is>
      </c>
      <c r="E71" s="9" t="n">
        <v>2</v>
      </c>
      <c r="F71" s="9" t="inlineStr">
        <is>
          <t>Cool</t>
        </is>
      </c>
      <c r="G71" s="29">
        <f>IF(C71="Cool",L70,M70)</f>
        <v/>
      </c>
      <c r="H71" s="29">
        <f>IF(F71="Overheated",0,IF(F71="Cool",L70,M70))</f>
        <v/>
      </c>
      <c r="I71" s="29">
        <f>E71+0.9*H71</f>
        <v/>
      </c>
      <c r="J71" s="29">
        <f>I71-G71</f>
        <v/>
      </c>
      <c r="K71" s="29">
        <f>G71+0.1*J71</f>
        <v/>
      </c>
      <c r="L71" s="29">
        <f>IF(C71="Cool",K71,L70)</f>
        <v/>
      </c>
      <c r="M71" s="29">
        <f>IF(C71="Warm",K71,M70)</f>
        <v/>
      </c>
    </row>
    <row r="72">
      <c r="A72" s="9" t="n">
        <v>66</v>
      </c>
      <c r="B72" s="9" t="n">
        <v>4</v>
      </c>
      <c r="C72" s="9" t="inlineStr">
        <is>
          <t>Cool</t>
        </is>
      </c>
      <c r="D72" s="9" t="inlineStr">
        <is>
          <t>Fast</t>
        </is>
      </c>
      <c r="E72" s="9" t="n">
        <v>2</v>
      </c>
      <c r="F72" s="9" t="inlineStr">
        <is>
          <t>Warm</t>
        </is>
      </c>
      <c r="G72" s="29">
        <f>IF(C72="Cool",L71,M71)</f>
        <v/>
      </c>
      <c r="H72" s="29">
        <f>IF(F72="Overheated",0,IF(F72="Cool",L71,M71))</f>
        <v/>
      </c>
      <c r="I72" s="29">
        <f>E72+0.9*H72</f>
        <v/>
      </c>
      <c r="J72" s="29">
        <f>I72-G72</f>
        <v/>
      </c>
      <c r="K72" s="29">
        <f>G72+0.1*J72</f>
        <v/>
      </c>
      <c r="L72" s="29">
        <f>IF(C72="Cool",K72,L71)</f>
        <v/>
      </c>
      <c r="M72" s="29">
        <f>IF(C72="Warm",K72,M71)</f>
        <v/>
      </c>
    </row>
    <row r="73">
      <c r="A73" s="9" t="n">
        <v>67</v>
      </c>
      <c r="B73" s="9" t="n">
        <v>4</v>
      </c>
      <c r="C73" s="9" t="inlineStr">
        <is>
          <t>Warm</t>
        </is>
      </c>
      <c r="D73" s="9" t="inlineStr">
        <is>
          <t>Slow</t>
        </is>
      </c>
      <c r="E73" s="9" t="n">
        <v>1</v>
      </c>
      <c r="F73" s="9" t="inlineStr">
        <is>
          <t>Warm</t>
        </is>
      </c>
      <c r="G73" s="29">
        <f>IF(C73="Cool",L72,M72)</f>
        <v/>
      </c>
      <c r="H73" s="29">
        <f>IF(F73="Overheated",0,IF(F73="Cool",L72,M72))</f>
        <v/>
      </c>
      <c r="I73" s="29">
        <f>E73+0.9*H73</f>
        <v/>
      </c>
      <c r="J73" s="29">
        <f>I73-G73</f>
        <v/>
      </c>
      <c r="K73" s="29">
        <f>G73+0.1*J73</f>
        <v/>
      </c>
      <c r="L73" s="29">
        <f>IF(C73="Cool",K73,L72)</f>
        <v/>
      </c>
      <c r="M73" s="29">
        <f>IF(C73="Warm",K73,M72)</f>
        <v/>
      </c>
    </row>
    <row r="74">
      <c r="A74" s="9" t="n">
        <v>68</v>
      </c>
      <c r="B74" s="9" t="n">
        <v>4</v>
      </c>
      <c r="C74" s="9" t="inlineStr">
        <is>
          <t>Warm</t>
        </is>
      </c>
      <c r="D74" s="9" t="inlineStr">
        <is>
          <t>Slow</t>
        </is>
      </c>
      <c r="E74" s="9" t="n">
        <v>1</v>
      </c>
      <c r="F74" s="9" t="inlineStr">
        <is>
          <t>Warm</t>
        </is>
      </c>
      <c r="G74" s="29">
        <f>IF(C74="Cool",L73,M73)</f>
        <v/>
      </c>
      <c r="H74" s="29">
        <f>IF(F74="Overheated",0,IF(F74="Cool",L73,M73))</f>
        <v/>
      </c>
      <c r="I74" s="29">
        <f>E74+0.9*H74</f>
        <v/>
      </c>
      <c r="J74" s="29">
        <f>I74-G74</f>
        <v/>
      </c>
      <c r="K74" s="29">
        <f>G74+0.1*J74</f>
        <v/>
      </c>
      <c r="L74" s="29">
        <f>IF(C74="Cool",K74,L73)</f>
        <v/>
      </c>
      <c r="M74" s="29">
        <f>IF(C74="Warm",K74,M73)</f>
        <v/>
      </c>
    </row>
    <row r="75">
      <c r="A75" s="9" t="n">
        <v>69</v>
      </c>
      <c r="B75" s="9" t="n">
        <v>4</v>
      </c>
      <c r="C75" s="9" t="inlineStr">
        <is>
          <t>Warm</t>
        </is>
      </c>
      <c r="D75" s="9" t="inlineStr">
        <is>
          <t>Slow</t>
        </is>
      </c>
      <c r="E75" s="9" t="n">
        <v>1</v>
      </c>
      <c r="F75" s="9" t="inlineStr">
        <is>
          <t>Cool</t>
        </is>
      </c>
      <c r="G75" s="29">
        <f>IF(C75="Cool",L74,M74)</f>
        <v/>
      </c>
      <c r="H75" s="29">
        <f>IF(F75="Overheated",0,IF(F75="Cool",L74,M74))</f>
        <v/>
      </c>
      <c r="I75" s="29">
        <f>E75+0.9*H75</f>
        <v/>
      </c>
      <c r="J75" s="29">
        <f>I75-G75</f>
        <v/>
      </c>
      <c r="K75" s="29">
        <f>G75+0.1*J75</f>
        <v/>
      </c>
      <c r="L75" s="29">
        <f>IF(C75="Cool",K75,L74)</f>
        <v/>
      </c>
      <c r="M75" s="29">
        <f>IF(C75="Warm",K75,M74)</f>
        <v/>
      </c>
    </row>
    <row r="76">
      <c r="A76" s="9" t="n">
        <v>70</v>
      </c>
      <c r="B76" s="9" t="n">
        <v>4</v>
      </c>
      <c r="C76" s="9" t="inlineStr">
        <is>
          <t>Cool</t>
        </is>
      </c>
      <c r="D76" s="9" t="inlineStr">
        <is>
          <t>Fast</t>
        </is>
      </c>
      <c r="E76" s="9" t="n">
        <v>2</v>
      </c>
      <c r="F76" s="9" t="inlineStr">
        <is>
          <t>Cool</t>
        </is>
      </c>
      <c r="G76" s="29">
        <f>IF(C76="Cool",L75,M75)</f>
        <v/>
      </c>
      <c r="H76" s="29">
        <f>IF(F76="Overheated",0,IF(F76="Cool",L75,M75))</f>
        <v/>
      </c>
      <c r="I76" s="29">
        <f>E76+0.9*H76</f>
        <v/>
      </c>
      <c r="J76" s="29">
        <f>I76-G76</f>
        <v/>
      </c>
      <c r="K76" s="29">
        <f>G76+0.1*J76</f>
        <v/>
      </c>
      <c r="L76" s="29">
        <f>IF(C76="Cool",K76,L75)</f>
        <v/>
      </c>
      <c r="M76" s="29">
        <f>IF(C76="Warm",K76,M75)</f>
        <v/>
      </c>
    </row>
    <row r="77">
      <c r="A77" s="9" t="n">
        <v>71</v>
      </c>
      <c r="B77" s="9" t="n">
        <v>4</v>
      </c>
      <c r="C77" s="9" t="inlineStr">
        <is>
          <t>Cool</t>
        </is>
      </c>
      <c r="D77" s="9" t="inlineStr">
        <is>
          <t>Fast</t>
        </is>
      </c>
      <c r="E77" s="9" t="n">
        <v>2</v>
      </c>
      <c r="F77" s="9" t="inlineStr">
        <is>
          <t>Warm</t>
        </is>
      </c>
      <c r="G77" s="29">
        <f>IF(C77="Cool",L76,M76)</f>
        <v/>
      </c>
      <c r="H77" s="29">
        <f>IF(F77="Overheated",0,IF(F77="Cool",L76,M76))</f>
        <v/>
      </c>
      <c r="I77" s="29">
        <f>E77+0.9*H77</f>
        <v/>
      </c>
      <c r="J77" s="29">
        <f>I77-G77</f>
        <v/>
      </c>
      <c r="K77" s="29">
        <f>G77+0.1*J77</f>
        <v/>
      </c>
      <c r="L77" s="29">
        <f>IF(C77="Cool",K77,L76)</f>
        <v/>
      </c>
      <c r="M77" s="29">
        <f>IF(C77="Warm",K77,M76)</f>
        <v/>
      </c>
    </row>
    <row r="78">
      <c r="A78" s="9" t="n">
        <v>72</v>
      </c>
      <c r="B78" s="9" t="n">
        <v>4</v>
      </c>
      <c r="C78" s="9" t="inlineStr">
        <is>
          <t>Warm</t>
        </is>
      </c>
      <c r="D78" s="9" t="inlineStr">
        <is>
          <t>Slow</t>
        </is>
      </c>
      <c r="E78" s="9" t="n">
        <v>1</v>
      </c>
      <c r="F78" s="9" t="inlineStr">
        <is>
          <t>Cool</t>
        </is>
      </c>
      <c r="G78" s="29">
        <f>IF(C78="Cool",L77,M77)</f>
        <v/>
      </c>
      <c r="H78" s="29">
        <f>IF(F78="Overheated",0,IF(F78="Cool",L77,M77))</f>
        <v/>
      </c>
      <c r="I78" s="29">
        <f>E78+0.9*H78</f>
        <v/>
      </c>
      <c r="J78" s="29">
        <f>I78-G78</f>
        <v/>
      </c>
      <c r="K78" s="29">
        <f>G78+0.1*J78</f>
        <v/>
      </c>
      <c r="L78" s="29">
        <f>IF(C78="Cool",K78,L77)</f>
        <v/>
      </c>
      <c r="M78" s="29">
        <f>IF(C78="Warm",K78,M77)</f>
        <v/>
      </c>
    </row>
    <row r="79">
      <c r="A79" s="9" t="n">
        <v>73</v>
      </c>
      <c r="B79" s="9" t="n">
        <v>4</v>
      </c>
      <c r="C79" s="9" t="inlineStr">
        <is>
          <t>Cool</t>
        </is>
      </c>
      <c r="D79" s="9" t="inlineStr">
        <is>
          <t>Fast</t>
        </is>
      </c>
      <c r="E79" s="9" t="n">
        <v>2</v>
      </c>
      <c r="F79" s="9" t="inlineStr">
        <is>
          <t>Warm</t>
        </is>
      </c>
      <c r="G79" s="29">
        <f>IF(C79="Cool",L78,M78)</f>
        <v/>
      </c>
      <c r="H79" s="29">
        <f>IF(F79="Overheated",0,IF(F79="Cool",L78,M78))</f>
        <v/>
      </c>
      <c r="I79" s="29">
        <f>E79+0.9*H79</f>
        <v/>
      </c>
      <c r="J79" s="29">
        <f>I79-G79</f>
        <v/>
      </c>
      <c r="K79" s="29">
        <f>G79+0.1*J79</f>
        <v/>
      </c>
      <c r="L79" s="29">
        <f>IF(C79="Cool",K79,L78)</f>
        <v/>
      </c>
      <c r="M79" s="29">
        <f>IF(C79="Warm",K79,M78)</f>
        <v/>
      </c>
    </row>
    <row r="80">
      <c r="A80" s="20" t="n">
        <v>74</v>
      </c>
      <c r="B80" s="20" t="n">
        <v>4</v>
      </c>
      <c r="C80" s="20" t="inlineStr">
        <is>
          <t>Warm</t>
        </is>
      </c>
      <c r="D80" s="20" t="inlineStr">
        <is>
          <t>Fast</t>
        </is>
      </c>
      <c r="E80" s="20" t="n">
        <v>-10</v>
      </c>
      <c r="F80" s="20" t="inlineStr">
        <is>
          <t>Overheated</t>
        </is>
      </c>
      <c r="G80" s="29">
        <f>IF(C80="Cool",L79,M79)</f>
        <v/>
      </c>
      <c r="H80" s="29">
        <f>IF(F80="Overheated",0,IF(F80="Cool",L79,M79))</f>
        <v/>
      </c>
      <c r="I80" s="29">
        <f>E80+0.9*H80</f>
        <v/>
      </c>
      <c r="J80" s="29">
        <f>I80-G80</f>
        <v/>
      </c>
      <c r="K80" s="29">
        <f>G80+0.1*J80</f>
        <v/>
      </c>
      <c r="L80" s="29">
        <f>IF(C80="Cool",K80,L79)</f>
        <v/>
      </c>
      <c r="M80" s="29">
        <f>IF(C80="Warm",K80,M79)</f>
        <v/>
      </c>
    </row>
    <row r="81">
      <c r="A81" s="9" t="n">
        <v>75</v>
      </c>
      <c r="B81" s="9" t="n">
        <v>5</v>
      </c>
      <c r="C81" s="9" t="inlineStr">
        <is>
          <t>Cool</t>
        </is>
      </c>
      <c r="D81" s="9" t="inlineStr">
        <is>
          <t>Fast</t>
        </is>
      </c>
      <c r="E81" s="9" t="n">
        <v>2</v>
      </c>
      <c r="F81" s="9" t="inlineStr">
        <is>
          <t>Warm</t>
        </is>
      </c>
      <c r="G81" s="29">
        <f>IF(C81="Cool",L80,M80)</f>
        <v/>
      </c>
      <c r="H81" s="29">
        <f>IF(F81="Overheated",0,IF(F81="Cool",L80,M80))</f>
        <v/>
      </c>
      <c r="I81" s="29">
        <f>E81+0.9*H81</f>
        <v/>
      </c>
      <c r="J81" s="29">
        <f>I81-G81</f>
        <v/>
      </c>
      <c r="K81" s="29">
        <f>G81+0.1*J81</f>
        <v/>
      </c>
      <c r="L81" s="29">
        <f>IF(C81="Cool",K81,L80)</f>
        <v/>
      </c>
      <c r="M81" s="29">
        <f>IF(C81="Warm",K81,M80)</f>
        <v/>
      </c>
    </row>
    <row r="82">
      <c r="A82" s="20" t="n">
        <v>76</v>
      </c>
      <c r="B82" s="20" t="n">
        <v>5</v>
      </c>
      <c r="C82" s="20" t="inlineStr">
        <is>
          <t>Warm</t>
        </is>
      </c>
      <c r="D82" s="20" t="inlineStr">
        <is>
          <t>Fast</t>
        </is>
      </c>
      <c r="E82" s="20" t="n">
        <v>-10</v>
      </c>
      <c r="F82" s="20" t="inlineStr">
        <is>
          <t>Overheated</t>
        </is>
      </c>
      <c r="G82" s="29">
        <f>IF(C82="Cool",L81,M81)</f>
        <v/>
      </c>
      <c r="H82" s="29">
        <f>IF(F82="Overheated",0,IF(F82="Cool",L81,M81))</f>
        <v/>
      </c>
      <c r="I82" s="29">
        <f>E82+0.9*H82</f>
        <v/>
      </c>
      <c r="J82" s="29">
        <f>I82-G82</f>
        <v/>
      </c>
      <c r="K82" s="29">
        <f>G82+0.1*J82</f>
        <v/>
      </c>
      <c r="L82" s="29">
        <f>IF(C82="Cool",K82,L81)</f>
        <v/>
      </c>
      <c r="M82" s="29">
        <f>IF(C82="Warm",K82,M81)</f>
        <v/>
      </c>
    </row>
    <row r="83"/>
    <row r="84">
      <c r="A84" s="2" t="inlineStr">
        <is>
          <t>Final V^TD(0)(s) after all episodes</t>
        </is>
      </c>
    </row>
    <row r="85">
      <c r="A85" s="6" t="inlineStr">
        <is>
          <t>State</t>
        </is>
      </c>
      <c r="B85" s="6" t="inlineStr">
        <is>
          <t>V(s) ✱</t>
        </is>
      </c>
    </row>
    <row r="86">
      <c r="A86" s="9" t="inlineStr">
        <is>
          <t>Cool</t>
        </is>
      </c>
      <c r="B86" s="29">
        <f>L82</f>
        <v/>
      </c>
    </row>
    <row r="87">
      <c r="A87" s="9" t="inlineStr">
        <is>
          <t>Warm</t>
        </is>
      </c>
      <c r="B87" s="29">
        <f>M82</f>
        <v/>
      </c>
    </row>
    <row r="88">
      <c r="A88" s="20" t="inlineStr">
        <is>
          <t>Overheated</t>
        </is>
      </c>
      <c r="B88" s="20" t="n">
        <v>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  <col width="58" customWidth="1" min="9" max="9"/>
    <col width="15" customWidth="1" min="10" max="10"/>
    <col width="14" customWidth="1" min="11" max="11"/>
    <col width="15" customWidth="1" min="12" max="12"/>
    <col width="42" customWidth="1" min="13" max="13"/>
    <col width="42" customWidth="1" min="14" max="14"/>
    <col width="42" customWidth="1" min="15" max="15"/>
    <col width="42" customWidth="1" min="16" max="16"/>
  </cols>
  <sheetData>
    <row r="1">
      <c r="A1" s="1" t="inlineStr">
        <is>
          <t>SARSA — On-Policy Q(s,a) Updates</t>
        </is>
      </c>
    </row>
    <row r="2">
      <c r="A2" s="4" t="inlineStr">
        <is>
          <t>NOTE: Each row = one time step t (a single transition s,a→r,s',a'), NOT a full sweep.  SARSA updates Q(s,a) after every step using the ACTUAL next action a'.</t>
        </is>
      </c>
    </row>
    <row r="3">
      <c r="A3" s="4" t="inlineStr">
        <is>
          <t>Q(s,a) ← Q(s,a) + α·[r + γ·Q(s',a') − Q(s,a)].  α=0.1, γ=0.9.  M-P track the full Q-table.</t>
        </is>
      </c>
    </row>
    <row r="4"/>
    <row r="5">
      <c r="A5" s="6" t="inlineStr">
        <is>
          <t>Step</t>
        </is>
      </c>
      <c r="B5" s="6" t="inlineStr">
        <is>
          <t>Ep</t>
        </is>
      </c>
      <c r="C5" s="6" t="inlineStr">
        <is>
          <t>s</t>
        </is>
      </c>
      <c r="D5" s="6" t="inlineStr">
        <is>
          <t>a</t>
        </is>
      </c>
      <c r="E5" s="6" t="inlineStr">
        <is>
          <t>r</t>
        </is>
      </c>
      <c r="F5" s="6" t="inlineStr">
        <is>
          <t>s'</t>
        </is>
      </c>
      <c r="G5" s="6" t="inlineStr">
        <is>
          <t>a'</t>
        </is>
      </c>
      <c r="H5" s="6" t="inlineStr">
        <is>
          <t>Q(s,a) bef ✱</t>
        </is>
      </c>
      <c r="I5" s="6" t="inlineStr">
        <is>
          <t>Q(s',a') ✱</t>
        </is>
      </c>
      <c r="J5" s="6" t="inlineStr">
        <is>
          <t>Target ✱</t>
        </is>
      </c>
      <c r="K5" s="6" t="inlineStr">
        <is>
          <t>Error ✱</t>
        </is>
      </c>
      <c r="L5" s="6" t="inlineStr">
        <is>
          <t>Q aft ✱</t>
        </is>
      </c>
      <c r="M5" s="6" t="inlineStr">
        <is>
          <t>Q(C,S) ✱</t>
        </is>
      </c>
      <c r="N5" s="6" t="inlineStr">
        <is>
          <t>Q(C,F) ✱</t>
        </is>
      </c>
      <c r="O5" s="6" t="inlineStr">
        <is>
          <t>Q(W,S) ✱</t>
        </is>
      </c>
      <c r="P5" s="6" t="inlineStr">
        <is>
          <t>Q(W,F) ✱</t>
        </is>
      </c>
    </row>
    <row r="6">
      <c r="A6" s="9" t="inlineStr">
        <is>
          <t>init</t>
        </is>
      </c>
      <c r="B6" s="9" t="inlineStr">
        <is>
          <t>init</t>
        </is>
      </c>
      <c r="C6" s="9" t="inlineStr">
        <is>
          <t>init</t>
        </is>
      </c>
      <c r="D6" s="9" t="inlineStr">
        <is>
          <t>init</t>
        </is>
      </c>
      <c r="E6" s="9" t="inlineStr">
        <is>
          <t>init</t>
        </is>
      </c>
      <c r="F6" s="9" t="inlineStr">
        <is>
          <t>init</t>
        </is>
      </c>
      <c r="G6" s="9" t="inlineStr">
        <is>
          <t>init</t>
        </is>
      </c>
      <c r="H6" s="9" t="inlineStr"/>
      <c r="I6" s="9" t="inlineStr"/>
      <c r="J6" s="9" t="inlineStr"/>
      <c r="K6" s="9" t="inlineStr"/>
      <c r="L6" s="9" t="inlineStr"/>
      <c r="M6" s="48" t="n">
        <v>0</v>
      </c>
      <c r="N6" s="48" t="n">
        <v>0</v>
      </c>
      <c r="O6" s="48" t="n">
        <v>0</v>
      </c>
      <c r="P6" s="48" t="n">
        <v>0</v>
      </c>
    </row>
    <row r="7">
      <c r="A7" s="9" t="n">
        <v>1</v>
      </c>
      <c r="B7" s="9" t="n">
        <v>1</v>
      </c>
      <c r="C7" s="9" t="inlineStr">
        <is>
          <t>Cool</t>
        </is>
      </c>
      <c r="D7" s="9" t="inlineStr">
        <is>
          <t>Fast</t>
        </is>
      </c>
      <c r="E7" s="9" t="n">
        <v>2</v>
      </c>
      <c r="F7" s="9" t="inlineStr">
        <is>
          <t>Cool</t>
        </is>
      </c>
      <c r="G7" s="9" t="inlineStr">
        <is>
          <t>Fast</t>
        </is>
      </c>
      <c r="H7" s="29">
        <f>IF(AND(C7="Cool",D7="Slow"),M6,IF(AND(C7="Cool",D7="Fast"),N6,IF(AND(C7="Warm",D7="Slow"),O6,P6)))</f>
        <v/>
      </c>
      <c r="I7" s="29">
        <f>IF(F7="Overheated",0,IF(AND(F7="Cool",G7="Slow"),M6,IF(AND(F7="Cool",G7="Fast"),N6,IF(AND(F7="Warm",G7="Slow"),O6,P6))))</f>
        <v/>
      </c>
      <c r="J7" s="29">
        <f>E7+0.9*I7</f>
        <v/>
      </c>
      <c r="K7" s="29">
        <f>J7-H7</f>
        <v/>
      </c>
      <c r="L7" s="29">
        <f>H7+0.1*K7</f>
        <v/>
      </c>
      <c r="M7" s="29">
        <f>IF(AND(C7="Cool",D7="Slow"),L7,M6)</f>
        <v/>
      </c>
      <c r="N7" s="29">
        <f>IF(AND(C7="Cool",D7="Fast"),L7,N6)</f>
        <v/>
      </c>
      <c r="O7" s="29">
        <f>IF(AND(C7="Warm",D7="Slow"),L7,O6)</f>
        <v/>
      </c>
      <c r="P7" s="29">
        <f>IF(AND(C7="Warm",D7="Fast"),L7,P6)</f>
        <v/>
      </c>
    </row>
    <row r="8">
      <c r="A8" s="9" t="n">
        <v>2</v>
      </c>
      <c r="B8" s="9" t="n">
        <v>1</v>
      </c>
      <c r="C8" s="9" t="inlineStr">
        <is>
          <t>Cool</t>
        </is>
      </c>
      <c r="D8" s="9" t="inlineStr">
        <is>
          <t>Fast</t>
        </is>
      </c>
      <c r="E8" s="9" t="n">
        <v>2</v>
      </c>
      <c r="F8" s="9" t="inlineStr">
        <is>
          <t>Cool</t>
        </is>
      </c>
      <c r="G8" s="9" t="inlineStr">
        <is>
          <t>Fast</t>
        </is>
      </c>
      <c r="H8" s="29">
        <f>IF(AND(C8="Cool",D8="Slow"),M7,IF(AND(C8="Cool",D8="Fast"),N7,IF(AND(C8="Warm",D8="Slow"),O7,P7)))</f>
        <v/>
      </c>
      <c r="I8" s="29">
        <f>IF(F8="Overheated",0,IF(AND(F8="Cool",G8="Slow"),M7,IF(AND(F8="Cool",G8="Fast"),N7,IF(AND(F8="Warm",G8="Slow"),O7,P7))))</f>
        <v/>
      </c>
      <c r="J8" s="29">
        <f>E8+0.9*I8</f>
        <v/>
      </c>
      <c r="K8" s="29">
        <f>J8-H8</f>
        <v/>
      </c>
      <c r="L8" s="29">
        <f>H8+0.1*K8</f>
        <v/>
      </c>
      <c r="M8" s="29">
        <f>IF(AND(C8="Cool",D8="Slow"),L8,M7)</f>
        <v/>
      </c>
      <c r="N8" s="29">
        <f>IF(AND(C8="Cool",D8="Fast"),L8,N7)</f>
        <v/>
      </c>
      <c r="O8" s="29">
        <f>IF(AND(C8="Warm",D8="Slow"),L8,O7)</f>
        <v/>
      </c>
      <c r="P8" s="29">
        <f>IF(AND(C8="Warm",D8="Fast"),L8,P7)</f>
        <v/>
      </c>
    </row>
    <row r="9">
      <c r="A9" s="9" t="n">
        <v>3</v>
      </c>
      <c r="B9" s="9" t="n">
        <v>1</v>
      </c>
      <c r="C9" s="9" t="inlineStr">
        <is>
          <t>Cool</t>
        </is>
      </c>
      <c r="D9" s="9" t="inlineStr">
        <is>
          <t>Fast</t>
        </is>
      </c>
      <c r="E9" s="9" t="n">
        <v>2</v>
      </c>
      <c r="F9" s="9" t="inlineStr">
        <is>
          <t>Cool</t>
        </is>
      </c>
      <c r="G9" s="9" t="inlineStr">
        <is>
          <t>Fast</t>
        </is>
      </c>
      <c r="H9" s="29">
        <f>IF(AND(C9="Cool",D9="Slow"),M8,IF(AND(C9="Cool",D9="Fast"),N8,IF(AND(C9="Warm",D9="Slow"),O8,P8)))</f>
        <v/>
      </c>
      <c r="I9" s="29">
        <f>IF(F9="Overheated",0,IF(AND(F9="Cool",G9="Slow"),M8,IF(AND(F9="Cool",G9="Fast"),N8,IF(AND(F9="Warm",G9="Slow"),O8,P8))))</f>
        <v/>
      </c>
      <c r="J9" s="29">
        <f>E9+0.9*I9</f>
        <v/>
      </c>
      <c r="K9" s="29">
        <f>J9-H9</f>
        <v/>
      </c>
      <c r="L9" s="29">
        <f>H9+0.1*K9</f>
        <v/>
      </c>
      <c r="M9" s="29">
        <f>IF(AND(C9="Cool",D9="Slow"),L9,M8)</f>
        <v/>
      </c>
      <c r="N9" s="29">
        <f>IF(AND(C9="Cool",D9="Fast"),L9,N8)</f>
        <v/>
      </c>
      <c r="O9" s="29">
        <f>IF(AND(C9="Warm",D9="Slow"),L9,O8)</f>
        <v/>
      </c>
      <c r="P9" s="29">
        <f>IF(AND(C9="Warm",D9="Fast"),L9,P8)</f>
        <v/>
      </c>
    </row>
    <row r="10">
      <c r="A10" s="9" t="n">
        <v>4</v>
      </c>
      <c r="B10" s="9" t="n">
        <v>1</v>
      </c>
      <c r="C10" s="9" t="inlineStr">
        <is>
          <t>Cool</t>
        </is>
      </c>
      <c r="D10" s="9" t="inlineStr">
        <is>
          <t>Fast</t>
        </is>
      </c>
      <c r="E10" s="9" t="n">
        <v>2</v>
      </c>
      <c r="F10" s="9" t="inlineStr">
        <is>
          <t>Cool</t>
        </is>
      </c>
      <c r="G10" s="9" t="inlineStr">
        <is>
          <t>Fast</t>
        </is>
      </c>
      <c r="H10" s="29">
        <f>IF(AND(C10="Cool",D10="Slow"),M9,IF(AND(C10="Cool",D10="Fast"),N9,IF(AND(C10="Warm",D10="Slow"),O9,P9)))</f>
        <v/>
      </c>
      <c r="I10" s="29">
        <f>IF(F10="Overheated",0,IF(AND(F10="Cool",G10="Slow"),M9,IF(AND(F10="Cool",G10="Fast"),N9,IF(AND(F10="Warm",G10="Slow"),O9,P9))))</f>
        <v/>
      </c>
      <c r="J10" s="29">
        <f>E10+0.9*I10</f>
        <v/>
      </c>
      <c r="K10" s="29">
        <f>J10-H10</f>
        <v/>
      </c>
      <c r="L10" s="29">
        <f>H10+0.1*K10</f>
        <v/>
      </c>
      <c r="M10" s="29">
        <f>IF(AND(C10="Cool",D10="Slow"),L10,M9)</f>
        <v/>
      </c>
      <c r="N10" s="29">
        <f>IF(AND(C10="Cool",D10="Fast"),L10,N9)</f>
        <v/>
      </c>
      <c r="O10" s="29">
        <f>IF(AND(C10="Warm",D10="Slow"),L10,O9)</f>
        <v/>
      </c>
      <c r="P10" s="29">
        <f>IF(AND(C10="Warm",D10="Fast"),L10,P9)</f>
        <v/>
      </c>
    </row>
    <row r="11">
      <c r="A11" s="9" t="n">
        <v>5</v>
      </c>
      <c r="B11" s="9" t="n">
        <v>1</v>
      </c>
      <c r="C11" s="9" t="inlineStr">
        <is>
          <t>Cool</t>
        </is>
      </c>
      <c r="D11" s="9" t="inlineStr">
        <is>
          <t>Fast</t>
        </is>
      </c>
      <c r="E11" s="9" t="n">
        <v>2</v>
      </c>
      <c r="F11" s="9" t="inlineStr">
        <is>
          <t>Cool</t>
        </is>
      </c>
      <c r="G11" s="9" t="inlineStr">
        <is>
          <t>Fast</t>
        </is>
      </c>
      <c r="H11" s="29">
        <f>IF(AND(C11="Cool",D11="Slow"),M10,IF(AND(C11="Cool",D11="Fast"),N10,IF(AND(C11="Warm",D11="Slow"),O10,P10)))</f>
        <v/>
      </c>
      <c r="I11" s="29">
        <f>IF(F11="Overheated",0,IF(AND(F11="Cool",G11="Slow"),M10,IF(AND(F11="Cool",G11="Fast"),N10,IF(AND(F11="Warm",G11="Slow"),O10,P10))))</f>
        <v/>
      </c>
      <c r="J11" s="29">
        <f>E11+0.9*I11</f>
        <v/>
      </c>
      <c r="K11" s="29">
        <f>J11-H11</f>
        <v/>
      </c>
      <c r="L11" s="29">
        <f>H11+0.1*K11</f>
        <v/>
      </c>
      <c r="M11" s="29">
        <f>IF(AND(C11="Cool",D11="Slow"),L11,M10)</f>
        <v/>
      </c>
      <c r="N11" s="29">
        <f>IF(AND(C11="Cool",D11="Fast"),L11,N10)</f>
        <v/>
      </c>
      <c r="O11" s="29">
        <f>IF(AND(C11="Warm",D11="Slow"),L11,O10)</f>
        <v/>
      </c>
      <c r="P11" s="29">
        <f>IF(AND(C11="Warm",D11="Fast"),L11,P10)</f>
        <v/>
      </c>
    </row>
    <row r="12">
      <c r="A12" s="9" t="n">
        <v>6</v>
      </c>
      <c r="B12" s="9" t="n">
        <v>1</v>
      </c>
      <c r="C12" s="9" t="inlineStr">
        <is>
          <t>Cool</t>
        </is>
      </c>
      <c r="D12" s="9" t="inlineStr">
        <is>
          <t>Fast</t>
        </is>
      </c>
      <c r="E12" s="9" t="n">
        <v>2</v>
      </c>
      <c r="F12" s="9" t="inlineStr">
        <is>
          <t>Cool</t>
        </is>
      </c>
      <c r="G12" s="9" t="inlineStr">
        <is>
          <t>Fast</t>
        </is>
      </c>
      <c r="H12" s="29">
        <f>IF(AND(C12="Cool",D12="Slow"),M11,IF(AND(C12="Cool",D12="Fast"),N11,IF(AND(C12="Warm",D12="Slow"),O11,P11)))</f>
        <v/>
      </c>
      <c r="I12" s="29">
        <f>IF(F12="Overheated",0,IF(AND(F12="Cool",G12="Slow"),M11,IF(AND(F12="Cool",G12="Fast"),N11,IF(AND(F12="Warm",G12="Slow"),O11,P11))))</f>
        <v/>
      </c>
      <c r="J12" s="29">
        <f>E12+0.9*I12</f>
        <v/>
      </c>
      <c r="K12" s="29">
        <f>J12-H12</f>
        <v/>
      </c>
      <c r="L12" s="29">
        <f>H12+0.1*K12</f>
        <v/>
      </c>
      <c r="M12" s="29">
        <f>IF(AND(C12="Cool",D12="Slow"),L12,M11)</f>
        <v/>
      </c>
      <c r="N12" s="29">
        <f>IF(AND(C12="Cool",D12="Fast"),L12,N11)</f>
        <v/>
      </c>
      <c r="O12" s="29">
        <f>IF(AND(C12="Warm",D12="Slow"),L12,O11)</f>
        <v/>
      </c>
      <c r="P12" s="29">
        <f>IF(AND(C12="Warm",D12="Fast"),L12,P11)</f>
        <v/>
      </c>
    </row>
    <row r="13">
      <c r="A13" s="9" t="n">
        <v>7</v>
      </c>
      <c r="B13" s="9" t="n">
        <v>1</v>
      </c>
      <c r="C13" s="9" t="inlineStr">
        <is>
          <t>Cool</t>
        </is>
      </c>
      <c r="D13" s="9" t="inlineStr">
        <is>
          <t>Fast</t>
        </is>
      </c>
      <c r="E13" s="9" t="n">
        <v>2</v>
      </c>
      <c r="F13" s="9" t="inlineStr">
        <is>
          <t>Cool</t>
        </is>
      </c>
      <c r="G13" s="9" t="inlineStr">
        <is>
          <t>Fast</t>
        </is>
      </c>
      <c r="H13" s="29">
        <f>IF(AND(C13="Cool",D13="Slow"),M12,IF(AND(C13="Cool",D13="Fast"),N12,IF(AND(C13="Warm",D13="Slow"),O12,P12)))</f>
        <v/>
      </c>
      <c r="I13" s="29">
        <f>IF(F13="Overheated",0,IF(AND(F13="Cool",G13="Slow"),M12,IF(AND(F13="Cool",G13="Fast"),N12,IF(AND(F13="Warm",G13="Slow"),O12,P12))))</f>
        <v/>
      </c>
      <c r="J13" s="29">
        <f>E13+0.9*I13</f>
        <v/>
      </c>
      <c r="K13" s="29">
        <f>J13-H13</f>
        <v/>
      </c>
      <c r="L13" s="29">
        <f>H13+0.1*K13</f>
        <v/>
      </c>
      <c r="M13" s="29">
        <f>IF(AND(C13="Cool",D13="Slow"),L13,M12)</f>
        <v/>
      </c>
      <c r="N13" s="29">
        <f>IF(AND(C13="Cool",D13="Fast"),L13,N12)</f>
        <v/>
      </c>
      <c r="O13" s="29">
        <f>IF(AND(C13="Warm",D13="Slow"),L13,O12)</f>
        <v/>
      </c>
      <c r="P13" s="29">
        <f>IF(AND(C13="Warm",D13="Fast"),L13,P12)</f>
        <v/>
      </c>
    </row>
    <row r="14">
      <c r="A14" s="9" t="n">
        <v>8</v>
      </c>
      <c r="B14" s="9" t="n">
        <v>1</v>
      </c>
      <c r="C14" s="9" t="inlineStr">
        <is>
          <t>Cool</t>
        </is>
      </c>
      <c r="D14" s="9" t="inlineStr">
        <is>
          <t>Fast</t>
        </is>
      </c>
      <c r="E14" s="9" t="n">
        <v>2</v>
      </c>
      <c r="F14" s="9" t="inlineStr">
        <is>
          <t>Warm</t>
        </is>
      </c>
      <c r="G14" s="9" t="inlineStr">
        <is>
          <t>Slow</t>
        </is>
      </c>
      <c r="H14" s="29">
        <f>IF(AND(C14="Cool",D14="Slow"),M13,IF(AND(C14="Cool",D14="Fast"),N13,IF(AND(C14="Warm",D14="Slow"),O13,P13)))</f>
        <v/>
      </c>
      <c r="I14" s="29">
        <f>IF(F14="Overheated",0,IF(AND(F14="Cool",G14="Slow"),M13,IF(AND(F14="Cool",G14="Fast"),N13,IF(AND(F14="Warm",G14="Slow"),O13,P13))))</f>
        <v/>
      </c>
      <c r="J14" s="29">
        <f>E14+0.9*I14</f>
        <v/>
      </c>
      <c r="K14" s="29">
        <f>J14-H14</f>
        <v/>
      </c>
      <c r="L14" s="29">
        <f>H14+0.1*K14</f>
        <v/>
      </c>
      <c r="M14" s="29">
        <f>IF(AND(C14="Cool",D14="Slow"),L14,M13)</f>
        <v/>
      </c>
      <c r="N14" s="29">
        <f>IF(AND(C14="Cool",D14="Fast"),L14,N13)</f>
        <v/>
      </c>
      <c r="O14" s="29">
        <f>IF(AND(C14="Warm",D14="Slow"),L14,O13)</f>
        <v/>
      </c>
      <c r="P14" s="29">
        <f>IF(AND(C14="Warm",D14="Fast"),L14,P13)</f>
        <v/>
      </c>
    </row>
    <row r="15">
      <c r="A15" s="9" t="n">
        <v>9</v>
      </c>
      <c r="B15" s="9" t="n">
        <v>1</v>
      </c>
      <c r="C15" s="9" t="inlineStr">
        <is>
          <t>Warm</t>
        </is>
      </c>
      <c r="D15" s="9" t="inlineStr">
        <is>
          <t>Slow</t>
        </is>
      </c>
      <c r="E15" s="9" t="n">
        <v>1</v>
      </c>
      <c r="F15" s="9" t="inlineStr">
        <is>
          <t>Warm</t>
        </is>
      </c>
      <c r="G15" s="9" t="inlineStr">
        <is>
          <t>Slow</t>
        </is>
      </c>
      <c r="H15" s="29">
        <f>IF(AND(C15="Cool",D15="Slow"),M14,IF(AND(C15="Cool",D15="Fast"),N14,IF(AND(C15="Warm",D15="Slow"),O14,P14)))</f>
        <v/>
      </c>
      <c r="I15" s="29">
        <f>IF(F15="Overheated",0,IF(AND(F15="Cool",G15="Slow"),M14,IF(AND(F15="Cool",G15="Fast"),N14,IF(AND(F15="Warm",G15="Slow"),O14,P14))))</f>
        <v/>
      </c>
      <c r="J15" s="29">
        <f>E15+0.9*I15</f>
        <v/>
      </c>
      <c r="K15" s="29">
        <f>J15-H15</f>
        <v/>
      </c>
      <c r="L15" s="29">
        <f>H15+0.1*K15</f>
        <v/>
      </c>
      <c r="M15" s="29">
        <f>IF(AND(C15="Cool",D15="Slow"),L15,M14)</f>
        <v/>
      </c>
      <c r="N15" s="29">
        <f>IF(AND(C15="Cool",D15="Fast"),L15,N14)</f>
        <v/>
      </c>
      <c r="O15" s="29">
        <f>IF(AND(C15="Warm",D15="Slow"),L15,O14)</f>
        <v/>
      </c>
      <c r="P15" s="29">
        <f>IF(AND(C15="Warm",D15="Fast"),L15,P14)</f>
        <v/>
      </c>
    </row>
    <row r="16">
      <c r="A16" s="9" t="n">
        <v>10</v>
      </c>
      <c r="B16" s="9" t="n">
        <v>1</v>
      </c>
      <c r="C16" s="9" t="inlineStr">
        <is>
          <t>Warm</t>
        </is>
      </c>
      <c r="D16" s="9" t="inlineStr">
        <is>
          <t>Slow</t>
        </is>
      </c>
      <c r="E16" s="9" t="n">
        <v>1</v>
      </c>
      <c r="F16" s="9" t="inlineStr">
        <is>
          <t>Cool</t>
        </is>
      </c>
      <c r="G16" s="9" t="inlineStr">
        <is>
          <t>Fast</t>
        </is>
      </c>
      <c r="H16" s="29">
        <f>IF(AND(C16="Cool",D16="Slow"),M15,IF(AND(C16="Cool",D16="Fast"),N15,IF(AND(C16="Warm",D16="Slow"),O15,P15)))</f>
        <v/>
      </c>
      <c r="I16" s="29">
        <f>IF(F16="Overheated",0,IF(AND(F16="Cool",G16="Slow"),M15,IF(AND(F16="Cool",G16="Fast"),N15,IF(AND(F16="Warm",G16="Slow"),O15,P15))))</f>
        <v/>
      </c>
      <c r="J16" s="29">
        <f>E16+0.9*I16</f>
        <v/>
      </c>
      <c r="K16" s="29">
        <f>J16-H16</f>
        <v/>
      </c>
      <c r="L16" s="29">
        <f>H16+0.1*K16</f>
        <v/>
      </c>
      <c r="M16" s="29">
        <f>IF(AND(C16="Cool",D16="Slow"),L16,M15)</f>
        <v/>
      </c>
      <c r="N16" s="29">
        <f>IF(AND(C16="Cool",D16="Fast"),L16,N15)</f>
        <v/>
      </c>
      <c r="O16" s="29">
        <f>IF(AND(C16="Warm",D16="Slow"),L16,O15)</f>
        <v/>
      </c>
      <c r="P16" s="29">
        <f>IF(AND(C16="Warm",D16="Fast"),L16,P15)</f>
        <v/>
      </c>
    </row>
    <row r="17">
      <c r="A17" s="9" t="n">
        <v>11</v>
      </c>
      <c r="B17" s="9" t="n">
        <v>1</v>
      </c>
      <c r="C17" s="9" t="inlineStr">
        <is>
          <t>Cool</t>
        </is>
      </c>
      <c r="D17" s="9" t="inlineStr">
        <is>
          <t>Fast</t>
        </is>
      </c>
      <c r="E17" s="9" t="n">
        <v>2</v>
      </c>
      <c r="F17" s="9" t="inlineStr">
        <is>
          <t>Cool</t>
        </is>
      </c>
      <c r="G17" s="9" t="inlineStr">
        <is>
          <t>Fast</t>
        </is>
      </c>
      <c r="H17" s="29">
        <f>IF(AND(C17="Cool",D17="Slow"),M16,IF(AND(C17="Cool",D17="Fast"),N16,IF(AND(C17="Warm",D17="Slow"),O16,P16)))</f>
        <v/>
      </c>
      <c r="I17" s="29">
        <f>IF(F17="Overheated",0,IF(AND(F17="Cool",G17="Slow"),M16,IF(AND(F17="Cool",G17="Fast"),N16,IF(AND(F17="Warm",G17="Slow"),O16,P16))))</f>
        <v/>
      </c>
      <c r="J17" s="29">
        <f>E17+0.9*I17</f>
        <v/>
      </c>
      <c r="K17" s="29">
        <f>J17-H17</f>
        <v/>
      </c>
      <c r="L17" s="29">
        <f>H17+0.1*K17</f>
        <v/>
      </c>
      <c r="M17" s="29">
        <f>IF(AND(C17="Cool",D17="Slow"),L17,M16)</f>
        <v/>
      </c>
      <c r="N17" s="29">
        <f>IF(AND(C17="Cool",D17="Fast"),L17,N16)</f>
        <v/>
      </c>
      <c r="O17" s="29">
        <f>IF(AND(C17="Warm",D17="Slow"),L17,O16)</f>
        <v/>
      </c>
      <c r="P17" s="29">
        <f>IF(AND(C17="Warm",D17="Fast"),L17,P16)</f>
        <v/>
      </c>
    </row>
    <row r="18">
      <c r="A18" s="9" t="n">
        <v>12</v>
      </c>
      <c r="B18" s="9" t="n">
        <v>1</v>
      </c>
      <c r="C18" s="9" t="inlineStr">
        <is>
          <t>Cool</t>
        </is>
      </c>
      <c r="D18" s="9" t="inlineStr">
        <is>
          <t>Fast</t>
        </is>
      </c>
      <c r="E18" s="9" t="n">
        <v>2</v>
      </c>
      <c r="F18" s="9" t="inlineStr">
        <is>
          <t>Warm</t>
        </is>
      </c>
      <c r="G18" s="9" t="inlineStr">
        <is>
          <t>Slow</t>
        </is>
      </c>
      <c r="H18" s="29">
        <f>IF(AND(C18="Cool",D18="Slow"),M17,IF(AND(C18="Cool",D18="Fast"),N17,IF(AND(C18="Warm",D18="Slow"),O17,P17)))</f>
        <v/>
      </c>
      <c r="I18" s="29">
        <f>IF(F18="Overheated",0,IF(AND(F18="Cool",G18="Slow"),M17,IF(AND(F18="Cool",G18="Fast"),N17,IF(AND(F18="Warm",G18="Slow"),O17,P17))))</f>
        <v/>
      </c>
      <c r="J18" s="29">
        <f>E18+0.9*I18</f>
        <v/>
      </c>
      <c r="K18" s="29">
        <f>J18-H18</f>
        <v/>
      </c>
      <c r="L18" s="29">
        <f>H18+0.1*K18</f>
        <v/>
      </c>
      <c r="M18" s="29">
        <f>IF(AND(C18="Cool",D18="Slow"),L18,M17)</f>
        <v/>
      </c>
      <c r="N18" s="29">
        <f>IF(AND(C18="Cool",D18="Fast"),L18,N17)</f>
        <v/>
      </c>
      <c r="O18" s="29">
        <f>IF(AND(C18="Warm",D18="Slow"),L18,O17)</f>
        <v/>
      </c>
      <c r="P18" s="29">
        <f>IF(AND(C18="Warm",D18="Fast"),L18,P17)</f>
        <v/>
      </c>
    </row>
    <row r="19">
      <c r="A19" s="9" t="n">
        <v>13</v>
      </c>
      <c r="B19" s="9" t="n">
        <v>1</v>
      </c>
      <c r="C19" s="9" t="inlineStr">
        <is>
          <t>Warm</t>
        </is>
      </c>
      <c r="D19" s="9" t="inlineStr">
        <is>
          <t>Slow</t>
        </is>
      </c>
      <c r="E19" s="9" t="n">
        <v>1</v>
      </c>
      <c r="F19" s="9" t="inlineStr">
        <is>
          <t>Cool</t>
        </is>
      </c>
      <c r="G19" s="9" t="inlineStr">
        <is>
          <t>Slow</t>
        </is>
      </c>
      <c r="H19" s="29">
        <f>IF(AND(C19="Cool",D19="Slow"),M18,IF(AND(C19="Cool",D19="Fast"),N18,IF(AND(C19="Warm",D19="Slow"),O18,P18)))</f>
        <v/>
      </c>
      <c r="I19" s="29">
        <f>IF(F19="Overheated",0,IF(AND(F19="Cool",G19="Slow"),M18,IF(AND(F19="Cool",G19="Fast"),N18,IF(AND(F19="Warm",G19="Slow"),O18,P18))))</f>
        <v/>
      </c>
      <c r="J19" s="29">
        <f>E19+0.9*I19</f>
        <v/>
      </c>
      <c r="K19" s="29">
        <f>J19-H19</f>
        <v/>
      </c>
      <c r="L19" s="29">
        <f>H19+0.1*K19</f>
        <v/>
      </c>
      <c r="M19" s="29">
        <f>IF(AND(C19="Cool",D19="Slow"),L19,M18)</f>
        <v/>
      </c>
      <c r="N19" s="29">
        <f>IF(AND(C19="Cool",D19="Fast"),L19,N18)</f>
        <v/>
      </c>
      <c r="O19" s="29">
        <f>IF(AND(C19="Warm",D19="Slow"),L19,O18)</f>
        <v/>
      </c>
      <c r="P19" s="29">
        <f>IF(AND(C19="Warm",D19="Fast"),L19,P18)</f>
        <v/>
      </c>
    </row>
    <row r="20">
      <c r="A20" s="9" t="n">
        <v>14</v>
      </c>
      <c r="B20" s="9" t="n">
        <v>1</v>
      </c>
      <c r="C20" s="9" t="inlineStr">
        <is>
          <t>Cool</t>
        </is>
      </c>
      <c r="D20" s="9" t="inlineStr">
        <is>
          <t>Slow</t>
        </is>
      </c>
      <c r="E20" s="9" t="n">
        <v>1</v>
      </c>
      <c r="F20" s="9" t="inlineStr">
        <is>
          <t>Warm</t>
        </is>
      </c>
      <c r="G20" s="9" t="inlineStr">
        <is>
          <t>Slow</t>
        </is>
      </c>
      <c r="H20" s="29">
        <f>IF(AND(C20="Cool",D20="Slow"),M19,IF(AND(C20="Cool",D20="Fast"),N19,IF(AND(C20="Warm",D20="Slow"),O19,P19)))</f>
        <v/>
      </c>
      <c r="I20" s="29">
        <f>IF(F20="Overheated",0,IF(AND(F20="Cool",G20="Slow"),M19,IF(AND(F20="Cool",G20="Fast"),N19,IF(AND(F20="Warm",G20="Slow"),O19,P19))))</f>
        <v/>
      </c>
      <c r="J20" s="29">
        <f>E20+0.9*I20</f>
        <v/>
      </c>
      <c r="K20" s="29">
        <f>J20-H20</f>
        <v/>
      </c>
      <c r="L20" s="29">
        <f>H20+0.1*K20</f>
        <v/>
      </c>
      <c r="M20" s="29">
        <f>IF(AND(C20="Cool",D20="Slow"),L20,M19)</f>
        <v/>
      </c>
      <c r="N20" s="29">
        <f>IF(AND(C20="Cool",D20="Fast"),L20,N19)</f>
        <v/>
      </c>
      <c r="O20" s="29">
        <f>IF(AND(C20="Warm",D20="Slow"),L20,O19)</f>
        <v/>
      </c>
      <c r="P20" s="29">
        <f>IF(AND(C20="Warm",D20="Fast"),L20,P19)</f>
        <v/>
      </c>
    </row>
    <row r="21">
      <c r="A21" s="9" t="n">
        <v>15</v>
      </c>
      <c r="B21" s="9" t="n">
        <v>1</v>
      </c>
      <c r="C21" s="9" t="inlineStr">
        <is>
          <t>Warm</t>
        </is>
      </c>
      <c r="D21" s="9" t="inlineStr">
        <is>
          <t>Slow</t>
        </is>
      </c>
      <c r="E21" s="9" t="n">
        <v>1</v>
      </c>
      <c r="F21" s="9" t="inlineStr">
        <is>
          <t>Warm</t>
        </is>
      </c>
      <c r="G21" s="9" t="inlineStr">
        <is>
          <t>Slow</t>
        </is>
      </c>
      <c r="H21" s="29">
        <f>IF(AND(C21="Cool",D21="Slow"),M20,IF(AND(C21="Cool",D21="Fast"),N20,IF(AND(C21="Warm",D21="Slow"),O20,P20)))</f>
        <v/>
      </c>
      <c r="I21" s="29">
        <f>IF(F21="Overheated",0,IF(AND(F21="Cool",G21="Slow"),M20,IF(AND(F21="Cool",G21="Fast"),N20,IF(AND(F21="Warm",G21="Slow"),O20,P20))))</f>
        <v/>
      </c>
      <c r="J21" s="29">
        <f>E21+0.9*I21</f>
        <v/>
      </c>
      <c r="K21" s="29">
        <f>J21-H21</f>
        <v/>
      </c>
      <c r="L21" s="29">
        <f>H21+0.1*K21</f>
        <v/>
      </c>
      <c r="M21" s="29">
        <f>IF(AND(C21="Cool",D21="Slow"),L21,M20)</f>
        <v/>
      </c>
      <c r="N21" s="29">
        <f>IF(AND(C21="Cool",D21="Fast"),L21,N20)</f>
        <v/>
      </c>
      <c r="O21" s="29">
        <f>IF(AND(C21="Warm",D21="Slow"),L21,O20)</f>
        <v/>
      </c>
      <c r="P21" s="29">
        <f>IF(AND(C21="Warm",D21="Fast"),L21,P20)</f>
        <v/>
      </c>
    </row>
    <row r="22">
      <c r="A22" s="9" t="n">
        <v>16</v>
      </c>
      <c r="B22" s="9" t="n">
        <v>1</v>
      </c>
      <c r="C22" s="9" t="inlineStr">
        <is>
          <t>Warm</t>
        </is>
      </c>
      <c r="D22" s="9" t="inlineStr">
        <is>
          <t>Slow</t>
        </is>
      </c>
      <c r="E22" s="9" t="n">
        <v>1</v>
      </c>
      <c r="F22" s="9" t="inlineStr">
        <is>
          <t>Warm</t>
        </is>
      </c>
      <c r="G22" s="9" t="inlineStr">
        <is>
          <t>Slow</t>
        </is>
      </c>
      <c r="H22" s="29">
        <f>IF(AND(C22="Cool",D22="Slow"),M21,IF(AND(C22="Cool",D22="Fast"),N21,IF(AND(C22="Warm",D22="Slow"),O21,P21)))</f>
        <v/>
      </c>
      <c r="I22" s="29">
        <f>IF(F22="Overheated",0,IF(AND(F22="Cool",G22="Slow"),M21,IF(AND(F22="Cool",G22="Fast"),N21,IF(AND(F22="Warm",G22="Slow"),O21,P21))))</f>
        <v/>
      </c>
      <c r="J22" s="29">
        <f>E22+0.9*I22</f>
        <v/>
      </c>
      <c r="K22" s="29">
        <f>J22-H22</f>
        <v/>
      </c>
      <c r="L22" s="29">
        <f>H22+0.1*K22</f>
        <v/>
      </c>
      <c r="M22" s="29">
        <f>IF(AND(C22="Cool",D22="Slow"),L22,M21)</f>
        <v/>
      </c>
      <c r="N22" s="29">
        <f>IF(AND(C22="Cool",D22="Fast"),L22,N21)</f>
        <v/>
      </c>
      <c r="O22" s="29">
        <f>IF(AND(C22="Warm",D22="Slow"),L22,O21)</f>
        <v/>
      </c>
      <c r="P22" s="29">
        <f>IF(AND(C22="Warm",D22="Fast"),L22,P21)</f>
        <v/>
      </c>
    </row>
    <row r="23">
      <c r="A23" s="9" t="n">
        <v>17</v>
      </c>
      <c r="B23" s="9" t="n">
        <v>1</v>
      </c>
      <c r="C23" s="9" t="inlineStr">
        <is>
          <t>Warm</t>
        </is>
      </c>
      <c r="D23" s="9" t="inlineStr">
        <is>
          <t>Slow</t>
        </is>
      </c>
      <c r="E23" s="9" t="n">
        <v>1</v>
      </c>
      <c r="F23" s="9" t="inlineStr">
        <is>
          <t>Cool</t>
        </is>
      </c>
      <c r="G23" s="9" t="inlineStr">
        <is>
          <t>Fast</t>
        </is>
      </c>
      <c r="H23" s="29">
        <f>IF(AND(C23="Cool",D23="Slow"),M22,IF(AND(C23="Cool",D23="Fast"),N22,IF(AND(C23="Warm",D23="Slow"),O22,P22)))</f>
        <v/>
      </c>
      <c r="I23" s="29">
        <f>IF(F23="Overheated",0,IF(AND(F23="Cool",G23="Slow"),M22,IF(AND(F23="Cool",G23="Fast"),N22,IF(AND(F23="Warm",G23="Slow"),O22,P22))))</f>
        <v/>
      </c>
      <c r="J23" s="29">
        <f>E23+0.9*I23</f>
        <v/>
      </c>
      <c r="K23" s="29">
        <f>J23-H23</f>
        <v/>
      </c>
      <c r="L23" s="29">
        <f>H23+0.1*K23</f>
        <v/>
      </c>
      <c r="M23" s="29">
        <f>IF(AND(C23="Cool",D23="Slow"),L23,M22)</f>
        <v/>
      </c>
      <c r="N23" s="29">
        <f>IF(AND(C23="Cool",D23="Fast"),L23,N22)</f>
        <v/>
      </c>
      <c r="O23" s="29">
        <f>IF(AND(C23="Warm",D23="Slow"),L23,O22)</f>
        <v/>
      </c>
      <c r="P23" s="29">
        <f>IF(AND(C23="Warm",D23="Fast"),L23,P22)</f>
        <v/>
      </c>
    </row>
    <row r="24">
      <c r="A24" s="9" t="n">
        <v>18</v>
      </c>
      <c r="B24" s="9" t="n">
        <v>1</v>
      </c>
      <c r="C24" s="9" t="inlineStr">
        <is>
          <t>Cool</t>
        </is>
      </c>
      <c r="D24" s="9" t="inlineStr">
        <is>
          <t>Fast</t>
        </is>
      </c>
      <c r="E24" s="9" t="n">
        <v>2</v>
      </c>
      <c r="F24" s="9" t="inlineStr">
        <is>
          <t>Cool</t>
        </is>
      </c>
      <c r="G24" s="9" t="inlineStr">
        <is>
          <t>Slow</t>
        </is>
      </c>
      <c r="H24" s="29">
        <f>IF(AND(C24="Cool",D24="Slow"),M23,IF(AND(C24="Cool",D24="Fast"),N23,IF(AND(C24="Warm",D24="Slow"),O23,P23)))</f>
        <v/>
      </c>
      <c r="I24" s="29">
        <f>IF(F24="Overheated",0,IF(AND(F24="Cool",G24="Slow"),M23,IF(AND(F24="Cool",G24="Fast"),N23,IF(AND(F24="Warm",G24="Slow"),O23,P23))))</f>
        <v/>
      </c>
      <c r="J24" s="29">
        <f>E24+0.9*I24</f>
        <v/>
      </c>
      <c r="K24" s="29">
        <f>J24-H24</f>
        <v/>
      </c>
      <c r="L24" s="29">
        <f>H24+0.1*K24</f>
        <v/>
      </c>
      <c r="M24" s="29">
        <f>IF(AND(C24="Cool",D24="Slow"),L24,M23)</f>
        <v/>
      </c>
      <c r="N24" s="29">
        <f>IF(AND(C24="Cool",D24="Fast"),L24,N23)</f>
        <v/>
      </c>
      <c r="O24" s="29">
        <f>IF(AND(C24="Warm",D24="Slow"),L24,O23)</f>
        <v/>
      </c>
      <c r="P24" s="29">
        <f>IF(AND(C24="Warm",D24="Fast"),L24,P23)</f>
        <v/>
      </c>
    </row>
    <row r="25">
      <c r="A25" s="9" t="n">
        <v>19</v>
      </c>
      <c r="B25" s="9" t="n">
        <v>1</v>
      </c>
      <c r="C25" s="9" t="inlineStr">
        <is>
          <t>Cool</t>
        </is>
      </c>
      <c r="D25" s="9" t="inlineStr">
        <is>
          <t>Slow</t>
        </is>
      </c>
      <c r="E25" s="9" t="n">
        <v>1</v>
      </c>
      <c r="F25" s="9" t="inlineStr">
        <is>
          <t>Warm</t>
        </is>
      </c>
      <c r="G25" s="9" t="inlineStr">
        <is>
          <t>Slow</t>
        </is>
      </c>
      <c r="H25" s="29">
        <f>IF(AND(C25="Cool",D25="Slow"),M24,IF(AND(C25="Cool",D25="Fast"),N24,IF(AND(C25="Warm",D25="Slow"),O24,P24)))</f>
        <v/>
      </c>
      <c r="I25" s="29">
        <f>IF(F25="Overheated",0,IF(AND(F25="Cool",G25="Slow"),M24,IF(AND(F25="Cool",G25="Fast"),N24,IF(AND(F25="Warm",G25="Slow"),O24,P24))))</f>
        <v/>
      </c>
      <c r="J25" s="29">
        <f>E25+0.9*I25</f>
        <v/>
      </c>
      <c r="K25" s="29">
        <f>J25-H25</f>
        <v/>
      </c>
      <c r="L25" s="29">
        <f>H25+0.1*K25</f>
        <v/>
      </c>
      <c r="M25" s="29">
        <f>IF(AND(C25="Cool",D25="Slow"),L25,M24)</f>
        <v/>
      </c>
      <c r="N25" s="29">
        <f>IF(AND(C25="Cool",D25="Fast"),L25,N24)</f>
        <v/>
      </c>
      <c r="O25" s="29">
        <f>IF(AND(C25="Warm",D25="Slow"),L25,O24)</f>
        <v/>
      </c>
      <c r="P25" s="29">
        <f>IF(AND(C25="Warm",D25="Fast"),L25,P24)</f>
        <v/>
      </c>
    </row>
    <row r="26">
      <c r="A26" s="9" t="n">
        <v>20</v>
      </c>
      <c r="B26" s="9" t="n">
        <v>1</v>
      </c>
      <c r="C26" s="9" t="inlineStr">
        <is>
          <t>Warm</t>
        </is>
      </c>
      <c r="D26" s="9" t="inlineStr">
        <is>
          <t>Slow</t>
        </is>
      </c>
      <c r="E26" s="9" t="n">
        <v>1</v>
      </c>
      <c r="F26" s="9" t="inlineStr">
        <is>
          <t>Warm</t>
        </is>
      </c>
      <c r="G26" s="9" t="inlineStr">
        <is>
          <t>Slow</t>
        </is>
      </c>
      <c r="H26" s="29">
        <f>IF(AND(C26="Cool",D26="Slow"),M25,IF(AND(C26="Cool",D26="Fast"),N25,IF(AND(C26="Warm",D26="Slow"),O25,P25)))</f>
        <v/>
      </c>
      <c r="I26" s="29">
        <f>IF(F26="Overheated",0,IF(AND(F26="Cool",G26="Slow"),M25,IF(AND(F26="Cool",G26="Fast"),N25,IF(AND(F26="Warm",G26="Slow"),O25,P25))))</f>
        <v/>
      </c>
      <c r="J26" s="29">
        <f>E26+0.9*I26</f>
        <v/>
      </c>
      <c r="K26" s="29">
        <f>J26-H26</f>
        <v/>
      </c>
      <c r="L26" s="29">
        <f>H26+0.1*K26</f>
        <v/>
      </c>
      <c r="M26" s="29">
        <f>IF(AND(C26="Cool",D26="Slow"),L26,M25)</f>
        <v/>
      </c>
      <c r="N26" s="29">
        <f>IF(AND(C26="Cool",D26="Fast"),L26,N25)</f>
        <v/>
      </c>
      <c r="O26" s="29">
        <f>IF(AND(C26="Warm",D26="Slow"),L26,O25)</f>
        <v/>
      </c>
      <c r="P26" s="29">
        <f>IF(AND(C26="Warm",D26="Fast"),L26,P25)</f>
        <v/>
      </c>
    </row>
    <row r="27">
      <c r="A27" s="9" t="n">
        <v>21</v>
      </c>
      <c r="B27" s="9" t="n">
        <v>2</v>
      </c>
      <c r="C27" s="9" t="inlineStr">
        <is>
          <t>Cool</t>
        </is>
      </c>
      <c r="D27" s="9" t="inlineStr">
        <is>
          <t>Fast</t>
        </is>
      </c>
      <c r="E27" s="9" t="n">
        <v>2</v>
      </c>
      <c r="F27" s="9" t="inlineStr">
        <is>
          <t>Warm</t>
        </is>
      </c>
      <c r="G27" s="9" t="inlineStr">
        <is>
          <t>Slow</t>
        </is>
      </c>
      <c r="H27" s="29">
        <f>IF(AND(C27="Cool",D27="Slow"),M26,IF(AND(C27="Cool",D27="Fast"),N26,IF(AND(C27="Warm",D27="Slow"),O26,P26)))</f>
        <v/>
      </c>
      <c r="I27" s="29">
        <f>IF(F27="Overheated",0,IF(AND(F27="Cool",G27="Slow"),M26,IF(AND(F27="Cool",G27="Fast"),N26,IF(AND(F27="Warm",G27="Slow"),O26,P26))))</f>
        <v/>
      </c>
      <c r="J27" s="29">
        <f>E27+0.9*I27</f>
        <v/>
      </c>
      <c r="K27" s="29">
        <f>J27-H27</f>
        <v/>
      </c>
      <c r="L27" s="29">
        <f>H27+0.1*K27</f>
        <v/>
      </c>
      <c r="M27" s="29">
        <f>IF(AND(C27="Cool",D27="Slow"),L27,M26)</f>
        <v/>
      </c>
      <c r="N27" s="29">
        <f>IF(AND(C27="Cool",D27="Fast"),L27,N26)</f>
        <v/>
      </c>
      <c r="O27" s="29">
        <f>IF(AND(C27="Warm",D27="Slow"),L27,O26)</f>
        <v/>
      </c>
      <c r="P27" s="29">
        <f>IF(AND(C27="Warm",D27="Fast"),L27,P26)</f>
        <v/>
      </c>
    </row>
    <row r="28">
      <c r="A28" s="9" t="n">
        <v>22</v>
      </c>
      <c r="B28" s="9" t="n">
        <v>2</v>
      </c>
      <c r="C28" s="9" t="inlineStr">
        <is>
          <t>Warm</t>
        </is>
      </c>
      <c r="D28" s="9" t="inlineStr">
        <is>
          <t>Slow</t>
        </is>
      </c>
      <c r="E28" s="9" t="n">
        <v>1</v>
      </c>
      <c r="F28" s="9" t="inlineStr">
        <is>
          <t>Cool</t>
        </is>
      </c>
      <c r="G28" s="9" t="inlineStr">
        <is>
          <t>Fast</t>
        </is>
      </c>
      <c r="H28" s="29">
        <f>IF(AND(C28="Cool",D28="Slow"),M27,IF(AND(C28="Cool",D28="Fast"),N27,IF(AND(C28="Warm",D28="Slow"),O27,P27)))</f>
        <v/>
      </c>
      <c r="I28" s="29">
        <f>IF(F28="Overheated",0,IF(AND(F28="Cool",G28="Slow"),M27,IF(AND(F28="Cool",G28="Fast"),N27,IF(AND(F28="Warm",G28="Slow"),O27,P27))))</f>
        <v/>
      </c>
      <c r="J28" s="29">
        <f>E28+0.9*I28</f>
        <v/>
      </c>
      <c r="K28" s="29">
        <f>J28-H28</f>
        <v/>
      </c>
      <c r="L28" s="29">
        <f>H28+0.1*K28</f>
        <v/>
      </c>
      <c r="M28" s="29">
        <f>IF(AND(C28="Cool",D28="Slow"),L28,M27)</f>
        <v/>
      </c>
      <c r="N28" s="29">
        <f>IF(AND(C28="Cool",D28="Fast"),L28,N27)</f>
        <v/>
      </c>
      <c r="O28" s="29">
        <f>IF(AND(C28="Warm",D28="Slow"),L28,O27)</f>
        <v/>
      </c>
      <c r="P28" s="29">
        <f>IF(AND(C28="Warm",D28="Fast"),L28,P27)</f>
        <v/>
      </c>
    </row>
    <row r="29">
      <c r="A29" s="9" t="n">
        <v>23</v>
      </c>
      <c r="B29" s="9" t="n">
        <v>2</v>
      </c>
      <c r="C29" s="9" t="inlineStr">
        <is>
          <t>Cool</t>
        </is>
      </c>
      <c r="D29" s="9" t="inlineStr">
        <is>
          <t>Fast</t>
        </is>
      </c>
      <c r="E29" s="9" t="n">
        <v>2</v>
      </c>
      <c r="F29" s="9" t="inlineStr">
        <is>
          <t>Cool</t>
        </is>
      </c>
      <c r="G29" s="9" t="inlineStr">
        <is>
          <t>Fast</t>
        </is>
      </c>
      <c r="H29" s="29">
        <f>IF(AND(C29="Cool",D29="Slow"),M28,IF(AND(C29="Cool",D29="Fast"),N28,IF(AND(C29="Warm",D29="Slow"),O28,P28)))</f>
        <v/>
      </c>
      <c r="I29" s="29">
        <f>IF(F29="Overheated",0,IF(AND(F29="Cool",G29="Slow"),M28,IF(AND(F29="Cool",G29="Fast"),N28,IF(AND(F29="Warm",G29="Slow"),O28,P28))))</f>
        <v/>
      </c>
      <c r="J29" s="29">
        <f>E29+0.9*I29</f>
        <v/>
      </c>
      <c r="K29" s="29">
        <f>J29-H29</f>
        <v/>
      </c>
      <c r="L29" s="29">
        <f>H29+0.1*K29</f>
        <v/>
      </c>
      <c r="M29" s="29">
        <f>IF(AND(C29="Cool",D29="Slow"),L29,M28)</f>
        <v/>
      </c>
      <c r="N29" s="29">
        <f>IF(AND(C29="Cool",D29="Fast"),L29,N28)</f>
        <v/>
      </c>
      <c r="O29" s="29">
        <f>IF(AND(C29="Warm",D29="Slow"),L29,O28)</f>
        <v/>
      </c>
      <c r="P29" s="29">
        <f>IF(AND(C29="Warm",D29="Fast"),L29,P28)</f>
        <v/>
      </c>
    </row>
    <row r="30">
      <c r="A30" s="9" t="n">
        <v>24</v>
      </c>
      <c r="B30" s="9" t="n">
        <v>2</v>
      </c>
      <c r="C30" s="9" t="inlineStr">
        <is>
          <t>Cool</t>
        </is>
      </c>
      <c r="D30" s="9" t="inlineStr">
        <is>
          <t>Fast</t>
        </is>
      </c>
      <c r="E30" s="9" t="n">
        <v>2</v>
      </c>
      <c r="F30" s="9" t="inlineStr">
        <is>
          <t>Cool</t>
        </is>
      </c>
      <c r="G30" s="9" t="inlineStr">
        <is>
          <t>Fast</t>
        </is>
      </c>
      <c r="H30" s="29">
        <f>IF(AND(C30="Cool",D30="Slow"),M29,IF(AND(C30="Cool",D30="Fast"),N29,IF(AND(C30="Warm",D30="Slow"),O29,P29)))</f>
        <v/>
      </c>
      <c r="I30" s="29">
        <f>IF(F30="Overheated",0,IF(AND(F30="Cool",G30="Slow"),M29,IF(AND(F30="Cool",G30="Fast"),N29,IF(AND(F30="Warm",G30="Slow"),O29,P29))))</f>
        <v/>
      </c>
      <c r="J30" s="29">
        <f>E30+0.9*I30</f>
        <v/>
      </c>
      <c r="K30" s="29">
        <f>J30-H30</f>
        <v/>
      </c>
      <c r="L30" s="29">
        <f>H30+0.1*K30</f>
        <v/>
      </c>
      <c r="M30" s="29">
        <f>IF(AND(C30="Cool",D30="Slow"),L30,M29)</f>
        <v/>
      </c>
      <c r="N30" s="29">
        <f>IF(AND(C30="Cool",D30="Fast"),L30,N29)</f>
        <v/>
      </c>
      <c r="O30" s="29">
        <f>IF(AND(C30="Warm",D30="Slow"),L30,O29)</f>
        <v/>
      </c>
      <c r="P30" s="29">
        <f>IF(AND(C30="Warm",D30="Fast"),L30,P29)</f>
        <v/>
      </c>
    </row>
    <row r="31">
      <c r="A31" s="9" t="n">
        <v>25</v>
      </c>
      <c r="B31" s="9" t="n">
        <v>2</v>
      </c>
      <c r="C31" s="9" t="inlineStr">
        <is>
          <t>Cool</t>
        </is>
      </c>
      <c r="D31" s="9" t="inlineStr">
        <is>
          <t>Fast</t>
        </is>
      </c>
      <c r="E31" s="9" t="n">
        <v>2</v>
      </c>
      <c r="F31" s="9" t="inlineStr">
        <is>
          <t>Cool</t>
        </is>
      </c>
      <c r="G31" s="9" t="inlineStr">
        <is>
          <t>Fast</t>
        </is>
      </c>
      <c r="H31" s="29">
        <f>IF(AND(C31="Cool",D31="Slow"),M30,IF(AND(C31="Cool",D31="Fast"),N30,IF(AND(C31="Warm",D31="Slow"),O30,P30)))</f>
        <v/>
      </c>
      <c r="I31" s="29">
        <f>IF(F31="Overheated",0,IF(AND(F31="Cool",G31="Slow"),M30,IF(AND(F31="Cool",G31="Fast"),N30,IF(AND(F31="Warm",G31="Slow"),O30,P30))))</f>
        <v/>
      </c>
      <c r="J31" s="29">
        <f>E31+0.9*I31</f>
        <v/>
      </c>
      <c r="K31" s="29">
        <f>J31-H31</f>
        <v/>
      </c>
      <c r="L31" s="29">
        <f>H31+0.1*K31</f>
        <v/>
      </c>
      <c r="M31" s="29">
        <f>IF(AND(C31="Cool",D31="Slow"),L31,M30)</f>
        <v/>
      </c>
      <c r="N31" s="29">
        <f>IF(AND(C31="Cool",D31="Fast"),L31,N30)</f>
        <v/>
      </c>
      <c r="O31" s="29">
        <f>IF(AND(C31="Warm",D31="Slow"),L31,O30)</f>
        <v/>
      </c>
      <c r="P31" s="29">
        <f>IF(AND(C31="Warm",D31="Fast"),L31,P30)</f>
        <v/>
      </c>
    </row>
    <row r="32">
      <c r="A32" s="9" t="n">
        <v>26</v>
      </c>
      <c r="B32" s="9" t="n">
        <v>2</v>
      </c>
      <c r="C32" s="9" t="inlineStr">
        <is>
          <t>Cool</t>
        </is>
      </c>
      <c r="D32" s="9" t="inlineStr">
        <is>
          <t>Fast</t>
        </is>
      </c>
      <c r="E32" s="9" t="n">
        <v>2</v>
      </c>
      <c r="F32" s="9" t="inlineStr">
        <is>
          <t>Warm</t>
        </is>
      </c>
      <c r="G32" s="9" t="inlineStr">
        <is>
          <t>Slow</t>
        </is>
      </c>
      <c r="H32" s="29">
        <f>IF(AND(C32="Cool",D32="Slow"),M31,IF(AND(C32="Cool",D32="Fast"),N31,IF(AND(C32="Warm",D32="Slow"),O31,P31)))</f>
        <v/>
      </c>
      <c r="I32" s="29">
        <f>IF(F32="Overheated",0,IF(AND(F32="Cool",G32="Slow"),M31,IF(AND(F32="Cool",G32="Fast"),N31,IF(AND(F32="Warm",G32="Slow"),O31,P31))))</f>
        <v/>
      </c>
      <c r="J32" s="29">
        <f>E32+0.9*I32</f>
        <v/>
      </c>
      <c r="K32" s="29">
        <f>J32-H32</f>
        <v/>
      </c>
      <c r="L32" s="29">
        <f>H32+0.1*K32</f>
        <v/>
      </c>
      <c r="M32" s="29">
        <f>IF(AND(C32="Cool",D32="Slow"),L32,M31)</f>
        <v/>
      </c>
      <c r="N32" s="29">
        <f>IF(AND(C32="Cool",D32="Fast"),L32,N31)</f>
        <v/>
      </c>
      <c r="O32" s="29">
        <f>IF(AND(C32="Warm",D32="Slow"),L32,O31)</f>
        <v/>
      </c>
      <c r="P32" s="29">
        <f>IF(AND(C32="Warm",D32="Fast"),L32,P31)</f>
        <v/>
      </c>
    </row>
    <row r="33">
      <c r="A33" s="9" t="n">
        <v>27</v>
      </c>
      <c r="B33" s="9" t="n">
        <v>2</v>
      </c>
      <c r="C33" s="9" t="inlineStr">
        <is>
          <t>Warm</t>
        </is>
      </c>
      <c r="D33" s="9" t="inlineStr">
        <is>
          <t>Slow</t>
        </is>
      </c>
      <c r="E33" s="9" t="n">
        <v>1</v>
      </c>
      <c r="F33" s="9" t="inlineStr">
        <is>
          <t>Warm</t>
        </is>
      </c>
      <c r="G33" s="9" t="inlineStr">
        <is>
          <t>Slow</t>
        </is>
      </c>
      <c r="H33" s="29">
        <f>IF(AND(C33="Cool",D33="Slow"),M32,IF(AND(C33="Cool",D33="Fast"),N32,IF(AND(C33="Warm",D33="Slow"),O32,P32)))</f>
        <v/>
      </c>
      <c r="I33" s="29">
        <f>IF(F33="Overheated",0,IF(AND(F33="Cool",G33="Slow"),M32,IF(AND(F33="Cool",G33="Fast"),N32,IF(AND(F33="Warm",G33="Slow"),O32,P32))))</f>
        <v/>
      </c>
      <c r="J33" s="29">
        <f>E33+0.9*I33</f>
        <v/>
      </c>
      <c r="K33" s="29">
        <f>J33-H33</f>
        <v/>
      </c>
      <c r="L33" s="29">
        <f>H33+0.1*K33</f>
        <v/>
      </c>
      <c r="M33" s="29">
        <f>IF(AND(C33="Cool",D33="Slow"),L33,M32)</f>
        <v/>
      </c>
      <c r="N33" s="29">
        <f>IF(AND(C33="Cool",D33="Fast"),L33,N32)</f>
        <v/>
      </c>
      <c r="O33" s="29">
        <f>IF(AND(C33="Warm",D33="Slow"),L33,O32)</f>
        <v/>
      </c>
      <c r="P33" s="29">
        <f>IF(AND(C33="Warm",D33="Fast"),L33,P32)</f>
        <v/>
      </c>
    </row>
    <row r="34">
      <c r="A34" s="9" t="n">
        <v>28</v>
      </c>
      <c r="B34" s="9" t="n">
        <v>2</v>
      </c>
      <c r="C34" s="9" t="inlineStr">
        <is>
          <t>Warm</t>
        </is>
      </c>
      <c r="D34" s="9" t="inlineStr">
        <is>
          <t>Slow</t>
        </is>
      </c>
      <c r="E34" s="9" t="n">
        <v>1</v>
      </c>
      <c r="F34" s="9" t="inlineStr">
        <is>
          <t>Warm</t>
        </is>
      </c>
      <c r="G34" s="9" t="inlineStr">
        <is>
          <t>Slow</t>
        </is>
      </c>
      <c r="H34" s="29">
        <f>IF(AND(C34="Cool",D34="Slow"),M33,IF(AND(C34="Cool",D34="Fast"),N33,IF(AND(C34="Warm",D34="Slow"),O33,P33)))</f>
        <v/>
      </c>
      <c r="I34" s="29">
        <f>IF(F34="Overheated",0,IF(AND(F34="Cool",G34="Slow"),M33,IF(AND(F34="Cool",G34="Fast"),N33,IF(AND(F34="Warm",G34="Slow"),O33,P33))))</f>
        <v/>
      </c>
      <c r="J34" s="29">
        <f>E34+0.9*I34</f>
        <v/>
      </c>
      <c r="K34" s="29">
        <f>J34-H34</f>
        <v/>
      </c>
      <c r="L34" s="29">
        <f>H34+0.1*K34</f>
        <v/>
      </c>
      <c r="M34" s="29">
        <f>IF(AND(C34="Cool",D34="Slow"),L34,M33)</f>
        <v/>
      </c>
      <c r="N34" s="29">
        <f>IF(AND(C34="Cool",D34="Fast"),L34,N33)</f>
        <v/>
      </c>
      <c r="O34" s="29">
        <f>IF(AND(C34="Warm",D34="Slow"),L34,O33)</f>
        <v/>
      </c>
      <c r="P34" s="29">
        <f>IF(AND(C34="Warm",D34="Fast"),L34,P33)</f>
        <v/>
      </c>
    </row>
    <row r="35">
      <c r="A35" s="9" t="n">
        <v>29</v>
      </c>
      <c r="B35" s="9" t="n">
        <v>2</v>
      </c>
      <c r="C35" s="9" t="inlineStr">
        <is>
          <t>Warm</t>
        </is>
      </c>
      <c r="D35" s="9" t="inlineStr">
        <is>
          <t>Slow</t>
        </is>
      </c>
      <c r="E35" s="9" t="n">
        <v>1</v>
      </c>
      <c r="F35" s="9" t="inlineStr">
        <is>
          <t>Warm</t>
        </is>
      </c>
      <c r="G35" s="9" t="inlineStr">
        <is>
          <t>Slow</t>
        </is>
      </c>
      <c r="H35" s="29">
        <f>IF(AND(C35="Cool",D35="Slow"),M34,IF(AND(C35="Cool",D35="Fast"),N34,IF(AND(C35="Warm",D35="Slow"),O34,P34)))</f>
        <v/>
      </c>
      <c r="I35" s="29">
        <f>IF(F35="Overheated",0,IF(AND(F35="Cool",G35="Slow"),M34,IF(AND(F35="Cool",G35="Fast"),N34,IF(AND(F35="Warm",G35="Slow"),O34,P34))))</f>
        <v/>
      </c>
      <c r="J35" s="29">
        <f>E35+0.9*I35</f>
        <v/>
      </c>
      <c r="K35" s="29">
        <f>J35-H35</f>
        <v/>
      </c>
      <c r="L35" s="29">
        <f>H35+0.1*K35</f>
        <v/>
      </c>
      <c r="M35" s="29">
        <f>IF(AND(C35="Cool",D35="Slow"),L35,M34)</f>
        <v/>
      </c>
      <c r="N35" s="29">
        <f>IF(AND(C35="Cool",D35="Fast"),L35,N34)</f>
        <v/>
      </c>
      <c r="O35" s="29">
        <f>IF(AND(C35="Warm",D35="Slow"),L35,O34)</f>
        <v/>
      </c>
      <c r="P35" s="29">
        <f>IF(AND(C35="Warm",D35="Fast"),L35,P34)</f>
        <v/>
      </c>
    </row>
    <row r="36">
      <c r="A36" s="9" t="n">
        <v>30</v>
      </c>
      <c r="B36" s="9" t="n">
        <v>2</v>
      </c>
      <c r="C36" s="9" t="inlineStr">
        <is>
          <t>Warm</t>
        </is>
      </c>
      <c r="D36" s="9" t="inlineStr">
        <is>
          <t>Slow</t>
        </is>
      </c>
      <c r="E36" s="9" t="n">
        <v>1</v>
      </c>
      <c r="F36" s="9" t="inlineStr">
        <is>
          <t>Cool</t>
        </is>
      </c>
      <c r="G36" s="9" t="inlineStr">
        <is>
          <t>Fast</t>
        </is>
      </c>
      <c r="H36" s="29">
        <f>IF(AND(C36="Cool",D36="Slow"),M35,IF(AND(C36="Cool",D36="Fast"),N35,IF(AND(C36="Warm",D36="Slow"),O35,P35)))</f>
        <v/>
      </c>
      <c r="I36" s="29">
        <f>IF(F36="Overheated",0,IF(AND(F36="Cool",G36="Slow"),M35,IF(AND(F36="Cool",G36="Fast"),N35,IF(AND(F36="Warm",G36="Slow"),O35,P35))))</f>
        <v/>
      </c>
      <c r="J36" s="29">
        <f>E36+0.9*I36</f>
        <v/>
      </c>
      <c r="K36" s="29">
        <f>J36-H36</f>
        <v/>
      </c>
      <c r="L36" s="29">
        <f>H36+0.1*K36</f>
        <v/>
      </c>
      <c r="M36" s="29">
        <f>IF(AND(C36="Cool",D36="Slow"),L36,M35)</f>
        <v/>
      </c>
      <c r="N36" s="29">
        <f>IF(AND(C36="Cool",D36="Fast"),L36,N35)</f>
        <v/>
      </c>
      <c r="O36" s="29">
        <f>IF(AND(C36="Warm",D36="Slow"),L36,O35)</f>
        <v/>
      </c>
      <c r="P36" s="29">
        <f>IF(AND(C36="Warm",D36="Fast"),L36,P35)</f>
        <v/>
      </c>
    </row>
    <row r="37">
      <c r="A37" s="9" t="n">
        <v>31</v>
      </c>
      <c r="B37" s="9" t="n">
        <v>2</v>
      </c>
      <c r="C37" s="9" t="inlineStr">
        <is>
          <t>Cool</t>
        </is>
      </c>
      <c r="D37" s="9" t="inlineStr">
        <is>
          <t>Fast</t>
        </is>
      </c>
      <c r="E37" s="9" t="n">
        <v>2</v>
      </c>
      <c r="F37" s="9" t="inlineStr">
        <is>
          <t>Cool</t>
        </is>
      </c>
      <c r="G37" s="9" t="inlineStr">
        <is>
          <t>Fast</t>
        </is>
      </c>
      <c r="H37" s="29">
        <f>IF(AND(C37="Cool",D37="Slow"),M36,IF(AND(C37="Cool",D37="Fast"),N36,IF(AND(C37="Warm",D37="Slow"),O36,P36)))</f>
        <v/>
      </c>
      <c r="I37" s="29">
        <f>IF(F37="Overheated",0,IF(AND(F37="Cool",G37="Slow"),M36,IF(AND(F37="Cool",G37="Fast"),N36,IF(AND(F37="Warm",G37="Slow"),O36,P36))))</f>
        <v/>
      </c>
      <c r="J37" s="29">
        <f>E37+0.9*I37</f>
        <v/>
      </c>
      <c r="K37" s="29">
        <f>J37-H37</f>
        <v/>
      </c>
      <c r="L37" s="29">
        <f>H37+0.1*K37</f>
        <v/>
      </c>
      <c r="M37" s="29">
        <f>IF(AND(C37="Cool",D37="Slow"),L37,M36)</f>
        <v/>
      </c>
      <c r="N37" s="29">
        <f>IF(AND(C37="Cool",D37="Fast"),L37,N36)</f>
        <v/>
      </c>
      <c r="O37" s="29">
        <f>IF(AND(C37="Warm",D37="Slow"),L37,O36)</f>
        <v/>
      </c>
      <c r="P37" s="29">
        <f>IF(AND(C37="Warm",D37="Fast"),L37,P36)</f>
        <v/>
      </c>
    </row>
    <row r="38">
      <c r="A38" s="9" t="n">
        <v>32</v>
      </c>
      <c r="B38" s="9" t="n">
        <v>2</v>
      </c>
      <c r="C38" s="9" t="inlineStr">
        <is>
          <t>Cool</t>
        </is>
      </c>
      <c r="D38" s="9" t="inlineStr">
        <is>
          <t>Fast</t>
        </is>
      </c>
      <c r="E38" s="9" t="n">
        <v>2</v>
      </c>
      <c r="F38" s="9" t="inlineStr">
        <is>
          <t>Cool</t>
        </is>
      </c>
      <c r="G38" s="9" t="inlineStr">
        <is>
          <t>Fast</t>
        </is>
      </c>
      <c r="H38" s="29">
        <f>IF(AND(C38="Cool",D38="Slow"),M37,IF(AND(C38="Cool",D38="Fast"),N37,IF(AND(C38="Warm",D38="Slow"),O37,P37)))</f>
        <v/>
      </c>
      <c r="I38" s="29">
        <f>IF(F38="Overheated",0,IF(AND(F38="Cool",G38="Slow"),M37,IF(AND(F38="Cool",G38="Fast"),N37,IF(AND(F38="Warm",G38="Slow"),O37,P37))))</f>
        <v/>
      </c>
      <c r="J38" s="29">
        <f>E38+0.9*I38</f>
        <v/>
      </c>
      <c r="K38" s="29">
        <f>J38-H38</f>
        <v/>
      </c>
      <c r="L38" s="29">
        <f>H38+0.1*K38</f>
        <v/>
      </c>
      <c r="M38" s="29">
        <f>IF(AND(C38="Cool",D38="Slow"),L38,M37)</f>
        <v/>
      </c>
      <c r="N38" s="29">
        <f>IF(AND(C38="Cool",D38="Fast"),L38,N37)</f>
        <v/>
      </c>
      <c r="O38" s="29">
        <f>IF(AND(C38="Warm",D38="Slow"),L38,O37)</f>
        <v/>
      </c>
      <c r="P38" s="29">
        <f>IF(AND(C38="Warm",D38="Fast"),L38,P37)</f>
        <v/>
      </c>
    </row>
    <row r="39">
      <c r="A39" s="9" t="n">
        <v>33</v>
      </c>
      <c r="B39" s="9" t="n">
        <v>2</v>
      </c>
      <c r="C39" s="9" t="inlineStr">
        <is>
          <t>Cool</t>
        </is>
      </c>
      <c r="D39" s="9" t="inlineStr">
        <is>
          <t>Fast</t>
        </is>
      </c>
      <c r="E39" s="9" t="n">
        <v>2</v>
      </c>
      <c r="F39" s="9" t="inlineStr">
        <is>
          <t>Warm</t>
        </is>
      </c>
      <c r="G39" s="9" t="inlineStr">
        <is>
          <t>Slow</t>
        </is>
      </c>
      <c r="H39" s="29">
        <f>IF(AND(C39="Cool",D39="Slow"),M38,IF(AND(C39="Cool",D39="Fast"),N38,IF(AND(C39="Warm",D39="Slow"),O38,P38)))</f>
        <v/>
      </c>
      <c r="I39" s="29">
        <f>IF(F39="Overheated",0,IF(AND(F39="Cool",G39="Slow"),M38,IF(AND(F39="Cool",G39="Fast"),N38,IF(AND(F39="Warm",G39="Slow"),O38,P38))))</f>
        <v/>
      </c>
      <c r="J39" s="29">
        <f>E39+0.9*I39</f>
        <v/>
      </c>
      <c r="K39" s="29">
        <f>J39-H39</f>
        <v/>
      </c>
      <c r="L39" s="29">
        <f>H39+0.1*K39</f>
        <v/>
      </c>
      <c r="M39" s="29">
        <f>IF(AND(C39="Cool",D39="Slow"),L39,M38)</f>
        <v/>
      </c>
      <c r="N39" s="29">
        <f>IF(AND(C39="Cool",D39="Fast"),L39,N38)</f>
        <v/>
      </c>
      <c r="O39" s="29">
        <f>IF(AND(C39="Warm",D39="Slow"),L39,O38)</f>
        <v/>
      </c>
      <c r="P39" s="29">
        <f>IF(AND(C39="Warm",D39="Fast"),L39,P38)</f>
        <v/>
      </c>
    </row>
    <row r="40">
      <c r="A40" s="9" t="n">
        <v>34</v>
      </c>
      <c r="B40" s="9" t="n">
        <v>2</v>
      </c>
      <c r="C40" s="9" t="inlineStr">
        <is>
          <t>Warm</t>
        </is>
      </c>
      <c r="D40" s="9" t="inlineStr">
        <is>
          <t>Slow</t>
        </is>
      </c>
      <c r="E40" s="9" t="n">
        <v>1</v>
      </c>
      <c r="F40" s="9" t="inlineStr">
        <is>
          <t>Cool</t>
        </is>
      </c>
      <c r="G40" s="9" t="inlineStr">
        <is>
          <t>Fast</t>
        </is>
      </c>
      <c r="H40" s="29">
        <f>IF(AND(C40="Cool",D40="Slow"),M39,IF(AND(C40="Cool",D40="Fast"),N39,IF(AND(C40="Warm",D40="Slow"),O39,P39)))</f>
        <v/>
      </c>
      <c r="I40" s="29">
        <f>IF(F40="Overheated",0,IF(AND(F40="Cool",G40="Slow"),M39,IF(AND(F40="Cool",G40="Fast"),N39,IF(AND(F40="Warm",G40="Slow"),O39,P39))))</f>
        <v/>
      </c>
      <c r="J40" s="29">
        <f>E40+0.9*I40</f>
        <v/>
      </c>
      <c r="K40" s="29">
        <f>J40-H40</f>
        <v/>
      </c>
      <c r="L40" s="29">
        <f>H40+0.1*K40</f>
        <v/>
      </c>
      <c r="M40" s="29">
        <f>IF(AND(C40="Cool",D40="Slow"),L40,M39)</f>
        <v/>
      </c>
      <c r="N40" s="29">
        <f>IF(AND(C40="Cool",D40="Fast"),L40,N39)</f>
        <v/>
      </c>
      <c r="O40" s="29">
        <f>IF(AND(C40="Warm",D40="Slow"),L40,O39)</f>
        <v/>
      </c>
      <c r="P40" s="29">
        <f>IF(AND(C40="Warm",D40="Fast"),L40,P39)</f>
        <v/>
      </c>
    </row>
    <row r="41">
      <c r="A41" s="9" t="n">
        <v>35</v>
      </c>
      <c r="B41" s="9" t="n">
        <v>2</v>
      </c>
      <c r="C41" s="9" t="inlineStr">
        <is>
          <t>Cool</t>
        </is>
      </c>
      <c r="D41" s="9" t="inlineStr">
        <is>
          <t>Fast</t>
        </is>
      </c>
      <c r="E41" s="9" t="n">
        <v>2</v>
      </c>
      <c r="F41" s="9" t="inlineStr">
        <is>
          <t>Cool</t>
        </is>
      </c>
      <c r="G41" s="9" t="inlineStr">
        <is>
          <t>Fast</t>
        </is>
      </c>
      <c r="H41" s="29">
        <f>IF(AND(C41="Cool",D41="Slow"),M40,IF(AND(C41="Cool",D41="Fast"),N40,IF(AND(C41="Warm",D41="Slow"),O40,P40)))</f>
        <v/>
      </c>
      <c r="I41" s="29">
        <f>IF(F41="Overheated",0,IF(AND(F41="Cool",G41="Slow"),M40,IF(AND(F41="Cool",G41="Fast"),N40,IF(AND(F41="Warm",G41="Slow"),O40,P40))))</f>
        <v/>
      </c>
      <c r="J41" s="29">
        <f>E41+0.9*I41</f>
        <v/>
      </c>
      <c r="K41" s="29">
        <f>J41-H41</f>
        <v/>
      </c>
      <c r="L41" s="29">
        <f>H41+0.1*K41</f>
        <v/>
      </c>
      <c r="M41" s="29">
        <f>IF(AND(C41="Cool",D41="Slow"),L41,M40)</f>
        <v/>
      </c>
      <c r="N41" s="29">
        <f>IF(AND(C41="Cool",D41="Fast"),L41,N40)</f>
        <v/>
      </c>
      <c r="O41" s="29">
        <f>IF(AND(C41="Warm",D41="Slow"),L41,O40)</f>
        <v/>
      </c>
      <c r="P41" s="29">
        <f>IF(AND(C41="Warm",D41="Fast"),L41,P40)</f>
        <v/>
      </c>
    </row>
    <row r="42">
      <c r="A42" s="9" t="n">
        <v>36</v>
      </c>
      <c r="B42" s="9" t="n">
        <v>2</v>
      </c>
      <c r="C42" s="9" t="inlineStr">
        <is>
          <t>Cool</t>
        </is>
      </c>
      <c r="D42" s="9" t="inlineStr">
        <is>
          <t>Fast</t>
        </is>
      </c>
      <c r="E42" s="9" t="n">
        <v>2</v>
      </c>
      <c r="F42" s="9" t="inlineStr">
        <is>
          <t>Cool</t>
        </is>
      </c>
      <c r="G42" s="9" t="inlineStr">
        <is>
          <t>Fast</t>
        </is>
      </c>
      <c r="H42" s="29">
        <f>IF(AND(C42="Cool",D42="Slow"),M41,IF(AND(C42="Cool",D42="Fast"),N41,IF(AND(C42="Warm",D42="Slow"),O41,P41)))</f>
        <v/>
      </c>
      <c r="I42" s="29">
        <f>IF(F42="Overheated",0,IF(AND(F42="Cool",G42="Slow"),M41,IF(AND(F42="Cool",G42="Fast"),N41,IF(AND(F42="Warm",G42="Slow"),O41,P41))))</f>
        <v/>
      </c>
      <c r="J42" s="29">
        <f>E42+0.9*I42</f>
        <v/>
      </c>
      <c r="K42" s="29">
        <f>J42-H42</f>
        <v/>
      </c>
      <c r="L42" s="29">
        <f>H42+0.1*K42</f>
        <v/>
      </c>
      <c r="M42" s="29">
        <f>IF(AND(C42="Cool",D42="Slow"),L42,M41)</f>
        <v/>
      </c>
      <c r="N42" s="29">
        <f>IF(AND(C42="Cool",D42="Fast"),L42,N41)</f>
        <v/>
      </c>
      <c r="O42" s="29">
        <f>IF(AND(C42="Warm",D42="Slow"),L42,O41)</f>
        <v/>
      </c>
      <c r="P42" s="29">
        <f>IF(AND(C42="Warm",D42="Fast"),L42,P41)</f>
        <v/>
      </c>
    </row>
    <row r="43">
      <c r="A43" s="9" t="n">
        <v>37</v>
      </c>
      <c r="B43" s="9" t="n">
        <v>2</v>
      </c>
      <c r="C43" s="9" t="inlineStr">
        <is>
          <t>Cool</t>
        </is>
      </c>
      <c r="D43" s="9" t="inlineStr">
        <is>
          <t>Fast</t>
        </is>
      </c>
      <c r="E43" s="9" t="n">
        <v>2</v>
      </c>
      <c r="F43" s="9" t="inlineStr">
        <is>
          <t>Warm</t>
        </is>
      </c>
      <c r="G43" s="9" t="inlineStr">
        <is>
          <t>Slow</t>
        </is>
      </c>
      <c r="H43" s="29">
        <f>IF(AND(C43="Cool",D43="Slow"),M42,IF(AND(C43="Cool",D43="Fast"),N42,IF(AND(C43="Warm",D43="Slow"),O42,P42)))</f>
        <v/>
      </c>
      <c r="I43" s="29">
        <f>IF(F43="Overheated",0,IF(AND(F43="Cool",G43="Slow"),M42,IF(AND(F43="Cool",G43="Fast"),N42,IF(AND(F43="Warm",G43="Slow"),O42,P42))))</f>
        <v/>
      </c>
      <c r="J43" s="29">
        <f>E43+0.9*I43</f>
        <v/>
      </c>
      <c r="K43" s="29">
        <f>J43-H43</f>
        <v/>
      </c>
      <c r="L43" s="29">
        <f>H43+0.1*K43</f>
        <v/>
      </c>
      <c r="M43" s="29">
        <f>IF(AND(C43="Cool",D43="Slow"),L43,M42)</f>
        <v/>
      </c>
      <c r="N43" s="29">
        <f>IF(AND(C43="Cool",D43="Fast"),L43,N42)</f>
        <v/>
      </c>
      <c r="O43" s="29">
        <f>IF(AND(C43="Warm",D43="Slow"),L43,O42)</f>
        <v/>
      </c>
      <c r="P43" s="29">
        <f>IF(AND(C43="Warm",D43="Fast"),L43,P42)</f>
        <v/>
      </c>
    </row>
    <row r="44">
      <c r="A44" s="9" t="n">
        <v>38</v>
      </c>
      <c r="B44" s="9" t="n">
        <v>2</v>
      </c>
      <c r="C44" s="9" t="inlineStr">
        <is>
          <t>Warm</t>
        </is>
      </c>
      <c r="D44" s="9" t="inlineStr">
        <is>
          <t>Slow</t>
        </is>
      </c>
      <c r="E44" s="9" t="n">
        <v>1</v>
      </c>
      <c r="F44" s="9" t="inlineStr">
        <is>
          <t>Cool</t>
        </is>
      </c>
      <c r="G44" s="9" t="inlineStr">
        <is>
          <t>Slow</t>
        </is>
      </c>
      <c r="H44" s="29">
        <f>IF(AND(C44="Cool",D44="Slow"),M43,IF(AND(C44="Cool",D44="Fast"),N43,IF(AND(C44="Warm",D44="Slow"),O43,P43)))</f>
        <v/>
      </c>
      <c r="I44" s="29">
        <f>IF(F44="Overheated",0,IF(AND(F44="Cool",G44="Slow"),M43,IF(AND(F44="Cool",G44="Fast"),N43,IF(AND(F44="Warm",G44="Slow"),O43,P43))))</f>
        <v/>
      </c>
      <c r="J44" s="29">
        <f>E44+0.9*I44</f>
        <v/>
      </c>
      <c r="K44" s="29">
        <f>J44-H44</f>
        <v/>
      </c>
      <c r="L44" s="29">
        <f>H44+0.1*K44</f>
        <v/>
      </c>
      <c r="M44" s="29">
        <f>IF(AND(C44="Cool",D44="Slow"),L44,M43)</f>
        <v/>
      </c>
      <c r="N44" s="29">
        <f>IF(AND(C44="Cool",D44="Fast"),L44,N43)</f>
        <v/>
      </c>
      <c r="O44" s="29">
        <f>IF(AND(C44="Warm",D44="Slow"),L44,O43)</f>
        <v/>
      </c>
      <c r="P44" s="29">
        <f>IF(AND(C44="Warm",D44="Fast"),L44,P43)</f>
        <v/>
      </c>
    </row>
    <row r="45">
      <c r="A45" s="9" t="n">
        <v>39</v>
      </c>
      <c r="B45" s="9" t="n">
        <v>2</v>
      </c>
      <c r="C45" s="9" t="inlineStr">
        <is>
          <t>Cool</t>
        </is>
      </c>
      <c r="D45" s="9" t="inlineStr">
        <is>
          <t>Slow</t>
        </is>
      </c>
      <c r="E45" s="9" t="n">
        <v>1</v>
      </c>
      <c r="F45" s="9" t="inlineStr">
        <is>
          <t>Warm</t>
        </is>
      </c>
      <c r="G45" s="9" t="inlineStr">
        <is>
          <t>Slow</t>
        </is>
      </c>
      <c r="H45" s="29">
        <f>IF(AND(C45="Cool",D45="Slow"),M44,IF(AND(C45="Cool",D45="Fast"),N44,IF(AND(C45="Warm",D45="Slow"),O44,P44)))</f>
        <v/>
      </c>
      <c r="I45" s="29">
        <f>IF(F45="Overheated",0,IF(AND(F45="Cool",G45="Slow"),M44,IF(AND(F45="Cool",G45="Fast"),N44,IF(AND(F45="Warm",G45="Slow"),O44,P44))))</f>
        <v/>
      </c>
      <c r="J45" s="29">
        <f>E45+0.9*I45</f>
        <v/>
      </c>
      <c r="K45" s="29">
        <f>J45-H45</f>
        <v/>
      </c>
      <c r="L45" s="29">
        <f>H45+0.1*K45</f>
        <v/>
      </c>
      <c r="M45" s="29">
        <f>IF(AND(C45="Cool",D45="Slow"),L45,M44)</f>
        <v/>
      </c>
      <c r="N45" s="29">
        <f>IF(AND(C45="Cool",D45="Fast"),L45,N44)</f>
        <v/>
      </c>
      <c r="O45" s="29">
        <f>IF(AND(C45="Warm",D45="Slow"),L45,O44)</f>
        <v/>
      </c>
      <c r="P45" s="29">
        <f>IF(AND(C45="Warm",D45="Fast"),L45,P44)</f>
        <v/>
      </c>
    </row>
    <row r="46">
      <c r="A46" s="9" t="n">
        <v>40</v>
      </c>
      <c r="B46" s="9" t="n">
        <v>2</v>
      </c>
      <c r="C46" s="9" t="inlineStr">
        <is>
          <t>Warm</t>
        </is>
      </c>
      <c r="D46" s="9" t="inlineStr">
        <is>
          <t>Slow</t>
        </is>
      </c>
      <c r="E46" s="9" t="n">
        <v>1</v>
      </c>
      <c r="F46" s="9" t="inlineStr">
        <is>
          <t>Warm</t>
        </is>
      </c>
      <c r="G46" s="9" t="inlineStr">
        <is>
          <t>Slow</t>
        </is>
      </c>
      <c r="H46" s="29">
        <f>IF(AND(C46="Cool",D46="Slow"),M45,IF(AND(C46="Cool",D46="Fast"),N45,IF(AND(C46="Warm",D46="Slow"),O45,P45)))</f>
        <v/>
      </c>
      <c r="I46" s="29">
        <f>IF(F46="Overheated",0,IF(AND(F46="Cool",G46="Slow"),M45,IF(AND(F46="Cool",G46="Fast"),N45,IF(AND(F46="Warm",G46="Slow"),O45,P45))))</f>
        <v/>
      </c>
      <c r="J46" s="29">
        <f>E46+0.9*I46</f>
        <v/>
      </c>
      <c r="K46" s="29">
        <f>J46-H46</f>
        <v/>
      </c>
      <c r="L46" s="29">
        <f>H46+0.1*K46</f>
        <v/>
      </c>
      <c r="M46" s="29">
        <f>IF(AND(C46="Cool",D46="Slow"),L46,M45)</f>
        <v/>
      </c>
      <c r="N46" s="29">
        <f>IF(AND(C46="Cool",D46="Fast"),L46,N45)</f>
        <v/>
      </c>
      <c r="O46" s="29">
        <f>IF(AND(C46="Warm",D46="Slow"),L46,O45)</f>
        <v/>
      </c>
      <c r="P46" s="29">
        <f>IF(AND(C46="Warm",D46="Fast"),L46,P45)</f>
        <v/>
      </c>
    </row>
    <row r="47">
      <c r="A47" s="9" t="n">
        <v>41</v>
      </c>
      <c r="B47" s="9" t="n">
        <v>3</v>
      </c>
      <c r="C47" s="9" t="inlineStr">
        <is>
          <t>Cool</t>
        </is>
      </c>
      <c r="D47" s="9" t="inlineStr">
        <is>
          <t>Fast</t>
        </is>
      </c>
      <c r="E47" s="9" t="n">
        <v>2</v>
      </c>
      <c r="F47" s="9" t="inlineStr">
        <is>
          <t>Warm</t>
        </is>
      </c>
      <c r="G47" s="9" t="inlineStr">
        <is>
          <t>Slow</t>
        </is>
      </c>
      <c r="H47" s="29">
        <f>IF(AND(C47="Cool",D47="Slow"),M46,IF(AND(C47="Cool",D47="Fast"),N46,IF(AND(C47="Warm",D47="Slow"),O46,P46)))</f>
        <v/>
      </c>
      <c r="I47" s="29">
        <f>IF(F47="Overheated",0,IF(AND(F47="Cool",G47="Slow"),M46,IF(AND(F47="Cool",G47="Fast"),N46,IF(AND(F47="Warm",G47="Slow"),O46,P46))))</f>
        <v/>
      </c>
      <c r="J47" s="29">
        <f>E47+0.9*I47</f>
        <v/>
      </c>
      <c r="K47" s="29">
        <f>J47-H47</f>
        <v/>
      </c>
      <c r="L47" s="29">
        <f>H47+0.1*K47</f>
        <v/>
      </c>
      <c r="M47" s="29">
        <f>IF(AND(C47="Cool",D47="Slow"),L47,M46)</f>
        <v/>
      </c>
      <c r="N47" s="29">
        <f>IF(AND(C47="Cool",D47="Fast"),L47,N46)</f>
        <v/>
      </c>
      <c r="O47" s="29">
        <f>IF(AND(C47="Warm",D47="Slow"),L47,O46)</f>
        <v/>
      </c>
      <c r="P47" s="29">
        <f>IF(AND(C47="Warm",D47="Fast"),L47,P46)</f>
        <v/>
      </c>
    </row>
    <row r="48">
      <c r="A48" s="9" t="n">
        <v>42</v>
      </c>
      <c r="B48" s="9" t="n">
        <v>3</v>
      </c>
      <c r="C48" s="9" t="inlineStr">
        <is>
          <t>Warm</t>
        </is>
      </c>
      <c r="D48" s="9" t="inlineStr">
        <is>
          <t>Slow</t>
        </is>
      </c>
      <c r="E48" s="9" t="n">
        <v>1</v>
      </c>
      <c r="F48" s="9" t="inlineStr">
        <is>
          <t>Cool</t>
        </is>
      </c>
      <c r="G48" s="9" t="inlineStr">
        <is>
          <t>Fast</t>
        </is>
      </c>
      <c r="H48" s="29">
        <f>IF(AND(C48="Cool",D48="Slow"),M47,IF(AND(C48="Cool",D48="Fast"),N47,IF(AND(C48="Warm",D48="Slow"),O47,P47)))</f>
        <v/>
      </c>
      <c r="I48" s="29">
        <f>IF(F48="Overheated",0,IF(AND(F48="Cool",G48="Slow"),M47,IF(AND(F48="Cool",G48="Fast"),N47,IF(AND(F48="Warm",G48="Slow"),O47,P47))))</f>
        <v/>
      </c>
      <c r="J48" s="29">
        <f>E48+0.9*I48</f>
        <v/>
      </c>
      <c r="K48" s="29">
        <f>J48-H48</f>
        <v/>
      </c>
      <c r="L48" s="29">
        <f>H48+0.1*K48</f>
        <v/>
      </c>
      <c r="M48" s="29">
        <f>IF(AND(C48="Cool",D48="Slow"),L48,M47)</f>
        <v/>
      </c>
      <c r="N48" s="29">
        <f>IF(AND(C48="Cool",D48="Fast"),L48,N47)</f>
        <v/>
      </c>
      <c r="O48" s="29">
        <f>IF(AND(C48="Warm",D48="Slow"),L48,O47)</f>
        <v/>
      </c>
      <c r="P48" s="29">
        <f>IF(AND(C48="Warm",D48="Fast"),L48,P47)</f>
        <v/>
      </c>
    </row>
    <row r="49">
      <c r="A49" s="9" t="n">
        <v>43</v>
      </c>
      <c r="B49" s="9" t="n">
        <v>3</v>
      </c>
      <c r="C49" s="9" t="inlineStr">
        <is>
          <t>Cool</t>
        </is>
      </c>
      <c r="D49" s="9" t="inlineStr">
        <is>
          <t>Fast</t>
        </is>
      </c>
      <c r="E49" s="9" t="n">
        <v>2</v>
      </c>
      <c r="F49" s="9" t="inlineStr">
        <is>
          <t>Warm</t>
        </is>
      </c>
      <c r="G49" s="9" t="inlineStr">
        <is>
          <t>Slow</t>
        </is>
      </c>
      <c r="H49" s="29">
        <f>IF(AND(C49="Cool",D49="Slow"),M48,IF(AND(C49="Cool",D49="Fast"),N48,IF(AND(C49="Warm",D49="Slow"),O48,P48)))</f>
        <v/>
      </c>
      <c r="I49" s="29">
        <f>IF(F49="Overheated",0,IF(AND(F49="Cool",G49="Slow"),M48,IF(AND(F49="Cool",G49="Fast"),N48,IF(AND(F49="Warm",G49="Slow"),O48,P48))))</f>
        <v/>
      </c>
      <c r="J49" s="29">
        <f>E49+0.9*I49</f>
        <v/>
      </c>
      <c r="K49" s="29">
        <f>J49-H49</f>
        <v/>
      </c>
      <c r="L49" s="29">
        <f>H49+0.1*K49</f>
        <v/>
      </c>
      <c r="M49" s="29">
        <f>IF(AND(C49="Cool",D49="Slow"),L49,M48)</f>
        <v/>
      </c>
      <c r="N49" s="29">
        <f>IF(AND(C49="Cool",D49="Fast"),L49,N48)</f>
        <v/>
      </c>
      <c r="O49" s="29">
        <f>IF(AND(C49="Warm",D49="Slow"),L49,O48)</f>
        <v/>
      </c>
      <c r="P49" s="29">
        <f>IF(AND(C49="Warm",D49="Fast"),L49,P48)</f>
        <v/>
      </c>
    </row>
    <row r="50">
      <c r="A50" s="9" t="n">
        <v>44</v>
      </c>
      <c r="B50" s="9" t="n">
        <v>3</v>
      </c>
      <c r="C50" s="9" t="inlineStr">
        <is>
          <t>Warm</t>
        </is>
      </c>
      <c r="D50" s="9" t="inlineStr">
        <is>
          <t>Slow</t>
        </is>
      </c>
      <c r="E50" s="9" t="n">
        <v>1</v>
      </c>
      <c r="F50" s="9" t="inlineStr">
        <is>
          <t>Warm</t>
        </is>
      </c>
      <c r="G50" s="9" t="inlineStr">
        <is>
          <t>Slow</t>
        </is>
      </c>
      <c r="H50" s="29">
        <f>IF(AND(C50="Cool",D50="Slow"),M49,IF(AND(C50="Cool",D50="Fast"),N49,IF(AND(C50="Warm",D50="Slow"),O49,P49)))</f>
        <v/>
      </c>
      <c r="I50" s="29">
        <f>IF(F50="Overheated",0,IF(AND(F50="Cool",G50="Slow"),M49,IF(AND(F50="Cool",G50="Fast"),N49,IF(AND(F50="Warm",G50="Slow"),O49,P49))))</f>
        <v/>
      </c>
      <c r="J50" s="29">
        <f>E50+0.9*I50</f>
        <v/>
      </c>
      <c r="K50" s="29">
        <f>J50-H50</f>
        <v/>
      </c>
      <c r="L50" s="29">
        <f>H50+0.1*K50</f>
        <v/>
      </c>
      <c r="M50" s="29">
        <f>IF(AND(C50="Cool",D50="Slow"),L50,M49)</f>
        <v/>
      </c>
      <c r="N50" s="29">
        <f>IF(AND(C50="Cool",D50="Fast"),L50,N49)</f>
        <v/>
      </c>
      <c r="O50" s="29">
        <f>IF(AND(C50="Warm",D50="Slow"),L50,O49)</f>
        <v/>
      </c>
      <c r="P50" s="29">
        <f>IF(AND(C50="Warm",D50="Fast"),L50,P49)</f>
        <v/>
      </c>
    </row>
    <row r="51">
      <c r="A51" s="9" t="n">
        <v>45</v>
      </c>
      <c r="B51" s="9" t="n">
        <v>3</v>
      </c>
      <c r="C51" s="9" t="inlineStr">
        <is>
          <t>Warm</t>
        </is>
      </c>
      <c r="D51" s="9" t="inlineStr">
        <is>
          <t>Slow</t>
        </is>
      </c>
      <c r="E51" s="9" t="n">
        <v>1</v>
      </c>
      <c r="F51" s="9" t="inlineStr">
        <is>
          <t>Warm</t>
        </is>
      </c>
      <c r="G51" s="9" t="inlineStr">
        <is>
          <t>Slow</t>
        </is>
      </c>
      <c r="H51" s="29">
        <f>IF(AND(C51="Cool",D51="Slow"),M50,IF(AND(C51="Cool",D51="Fast"),N50,IF(AND(C51="Warm",D51="Slow"),O50,P50)))</f>
        <v/>
      </c>
      <c r="I51" s="29">
        <f>IF(F51="Overheated",0,IF(AND(F51="Cool",G51="Slow"),M50,IF(AND(F51="Cool",G51="Fast"),N50,IF(AND(F51="Warm",G51="Slow"),O50,P50))))</f>
        <v/>
      </c>
      <c r="J51" s="29">
        <f>E51+0.9*I51</f>
        <v/>
      </c>
      <c r="K51" s="29">
        <f>J51-H51</f>
        <v/>
      </c>
      <c r="L51" s="29">
        <f>H51+0.1*K51</f>
        <v/>
      </c>
      <c r="M51" s="29">
        <f>IF(AND(C51="Cool",D51="Slow"),L51,M50)</f>
        <v/>
      </c>
      <c r="N51" s="29">
        <f>IF(AND(C51="Cool",D51="Fast"),L51,N50)</f>
        <v/>
      </c>
      <c r="O51" s="29">
        <f>IF(AND(C51="Warm",D51="Slow"),L51,O50)</f>
        <v/>
      </c>
      <c r="P51" s="29">
        <f>IF(AND(C51="Warm",D51="Fast"),L51,P50)</f>
        <v/>
      </c>
    </row>
    <row r="52">
      <c r="A52" s="9" t="n">
        <v>46</v>
      </c>
      <c r="B52" s="9" t="n">
        <v>3</v>
      </c>
      <c r="C52" s="9" t="inlineStr">
        <is>
          <t>Warm</t>
        </is>
      </c>
      <c r="D52" s="9" t="inlineStr">
        <is>
          <t>Slow</t>
        </is>
      </c>
      <c r="E52" s="9" t="n">
        <v>1</v>
      </c>
      <c r="F52" s="9" t="inlineStr">
        <is>
          <t>Cool</t>
        </is>
      </c>
      <c r="G52" s="9" t="inlineStr">
        <is>
          <t>Fast</t>
        </is>
      </c>
      <c r="H52" s="29">
        <f>IF(AND(C52="Cool",D52="Slow"),M51,IF(AND(C52="Cool",D52="Fast"),N51,IF(AND(C52="Warm",D52="Slow"),O51,P51)))</f>
        <v/>
      </c>
      <c r="I52" s="29">
        <f>IF(F52="Overheated",0,IF(AND(F52="Cool",G52="Slow"),M51,IF(AND(F52="Cool",G52="Fast"),N51,IF(AND(F52="Warm",G52="Slow"),O51,P51))))</f>
        <v/>
      </c>
      <c r="J52" s="29">
        <f>E52+0.9*I52</f>
        <v/>
      </c>
      <c r="K52" s="29">
        <f>J52-H52</f>
        <v/>
      </c>
      <c r="L52" s="29">
        <f>H52+0.1*K52</f>
        <v/>
      </c>
      <c r="M52" s="29">
        <f>IF(AND(C52="Cool",D52="Slow"),L52,M51)</f>
        <v/>
      </c>
      <c r="N52" s="29">
        <f>IF(AND(C52="Cool",D52="Fast"),L52,N51)</f>
        <v/>
      </c>
      <c r="O52" s="29">
        <f>IF(AND(C52="Warm",D52="Slow"),L52,O51)</f>
        <v/>
      </c>
      <c r="P52" s="29">
        <f>IF(AND(C52="Warm",D52="Fast"),L52,P51)</f>
        <v/>
      </c>
    </row>
    <row r="53">
      <c r="A53" s="9" t="n">
        <v>47</v>
      </c>
      <c r="B53" s="9" t="n">
        <v>3</v>
      </c>
      <c r="C53" s="9" t="inlineStr">
        <is>
          <t>Cool</t>
        </is>
      </c>
      <c r="D53" s="9" t="inlineStr">
        <is>
          <t>Fast</t>
        </is>
      </c>
      <c r="E53" s="9" t="n">
        <v>2</v>
      </c>
      <c r="F53" s="9" t="inlineStr">
        <is>
          <t>Cool</t>
        </is>
      </c>
      <c r="G53" s="9" t="inlineStr">
        <is>
          <t>Fast</t>
        </is>
      </c>
      <c r="H53" s="29">
        <f>IF(AND(C53="Cool",D53="Slow"),M52,IF(AND(C53="Cool",D53="Fast"),N52,IF(AND(C53="Warm",D53="Slow"),O52,P52)))</f>
        <v/>
      </c>
      <c r="I53" s="29">
        <f>IF(F53="Overheated",0,IF(AND(F53="Cool",G53="Slow"),M52,IF(AND(F53="Cool",G53="Fast"),N52,IF(AND(F53="Warm",G53="Slow"),O52,P52))))</f>
        <v/>
      </c>
      <c r="J53" s="29">
        <f>E53+0.9*I53</f>
        <v/>
      </c>
      <c r="K53" s="29">
        <f>J53-H53</f>
        <v/>
      </c>
      <c r="L53" s="29">
        <f>H53+0.1*K53</f>
        <v/>
      </c>
      <c r="M53" s="29">
        <f>IF(AND(C53="Cool",D53="Slow"),L53,M52)</f>
        <v/>
      </c>
      <c r="N53" s="29">
        <f>IF(AND(C53="Cool",D53="Fast"),L53,N52)</f>
        <v/>
      </c>
      <c r="O53" s="29">
        <f>IF(AND(C53="Warm",D53="Slow"),L53,O52)</f>
        <v/>
      </c>
      <c r="P53" s="29">
        <f>IF(AND(C53="Warm",D53="Fast"),L53,P52)</f>
        <v/>
      </c>
    </row>
    <row r="54">
      <c r="A54" s="9" t="n">
        <v>48</v>
      </c>
      <c r="B54" s="9" t="n">
        <v>3</v>
      </c>
      <c r="C54" s="9" t="inlineStr">
        <is>
          <t>Cool</t>
        </is>
      </c>
      <c r="D54" s="9" t="inlineStr">
        <is>
          <t>Fast</t>
        </is>
      </c>
      <c r="E54" s="9" t="n">
        <v>2</v>
      </c>
      <c r="F54" s="9" t="inlineStr">
        <is>
          <t>Cool</t>
        </is>
      </c>
      <c r="G54" s="9" t="inlineStr">
        <is>
          <t>Fast</t>
        </is>
      </c>
      <c r="H54" s="29">
        <f>IF(AND(C54="Cool",D54="Slow"),M53,IF(AND(C54="Cool",D54="Fast"),N53,IF(AND(C54="Warm",D54="Slow"),O53,P53)))</f>
        <v/>
      </c>
      <c r="I54" s="29">
        <f>IF(F54="Overheated",0,IF(AND(F54="Cool",G54="Slow"),M53,IF(AND(F54="Cool",G54="Fast"),N53,IF(AND(F54="Warm",G54="Slow"),O53,P53))))</f>
        <v/>
      </c>
      <c r="J54" s="29">
        <f>E54+0.9*I54</f>
        <v/>
      </c>
      <c r="K54" s="29">
        <f>J54-H54</f>
        <v/>
      </c>
      <c r="L54" s="29">
        <f>H54+0.1*K54</f>
        <v/>
      </c>
      <c r="M54" s="29">
        <f>IF(AND(C54="Cool",D54="Slow"),L54,M53)</f>
        <v/>
      </c>
      <c r="N54" s="29">
        <f>IF(AND(C54="Cool",D54="Fast"),L54,N53)</f>
        <v/>
      </c>
      <c r="O54" s="29">
        <f>IF(AND(C54="Warm",D54="Slow"),L54,O53)</f>
        <v/>
      </c>
      <c r="P54" s="29">
        <f>IF(AND(C54="Warm",D54="Fast"),L54,P53)</f>
        <v/>
      </c>
    </row>
    <row r="55">
      <c r="A55" s="9" t="n">
        <v>49</v>
      </c>
      <c r="B55" s="9" t="n">
        <v>3</v>
      </c>
      <c r="C55" s="9" t="inlineStr">
        <is>
          <t>Cool</t>
        </is>
      </c>
      <c r="D55" s="9" t="inlineStr">
        <is>
          <t>Fast</t>
        </is>
      </c>
      <c r="E55" s="9" t="n">
        <v>2</v>
      </c>
      <c r="F55" s="9" t="inlineStr">
        <is>
          <t>Cool</t>
        </is>
      </c>
      <c r="G55" s="9" t="inlineStr">
        <is>
          <t>Fast</t>
        </is>
      </c>
      <c r="H55" s="29">
        <f>IF(AND(C55="Cool",D55="Slow"),M54,IF(AND(C55="Cool",D55="Fast"),N54,IF(AND(C55="Warm",D55="Slow"),O54,P54)))</f>
        <v/>
      </c>
      <c r="I55" s="29">
        <f>IF(F55="Overheated",0,IF(AND(F55="Cool",G55="Slow"),M54,IF(AND(F55="Cool",G55="Fast"),N54,IF(AND(F55="Warm",G55="Slow"),O54,P54))))</f>
        <v/>
      </c>
      <c r="J55" s="29">
        <f>E55+0.9*I55</f>
        <v/>
      </c>
      <c r="K55" s="29">
        <f>J55-H55</f>
        <v/>
      </c>
      <c r="L55" s="29">
        <f>H55+0.1*K55</f>
        <v/>
      </c>
      <c r="M55" s="29">
        <f>IF(AND(C55="Cool",D55="Slow"),L55,M54)</f>
        <v/>
      </c>
      <c r="N55" s="29">
        <f>IF(AND(C55="Cool",D55="Fast"),L55,N54)</f>
        <v/>
      </c>
      <c r="O55" s="29">
        <f>IF(AND(C55="Warm",D55="Slow"),L55,O54)</f>
        <v/>
      </c>
      <c r="P55" s="29">
        <f>IF(AND(C55="Warm",D55="Fast"),L55,P54)</f>
        <v/>
      </c>
    </row>
    <row r="56">
      <c r="A56" s="9" t="n">
        <v>50</v>
      </c>
      <c r="B56" s="9" t="n">
        <v>3</v>
      </c>
      <c r="C56" s="9" t="inlineStr">
        <is>
          <t>Cool</t>
        </is>
      </c>
      <c r="D56" s="9" t="inlineStr">
        <is>
          <t>Fast</t>
        </is>
      </c>
      <c r="E56" s="9" t="n">
        <v>2</v>
      </c>
      <c r="F56" s="9" t="inlineStr">
        <is>
          <t>Warm</t>
        </is>
      </c>
      <c r="G56" s="9" t="inlineStr">
        <is>
          <t>Slow</t>
        </is>
      </c>
      <c r="H56" s="29">
        <f>IF(AND(C56="Cool",D56="Slow"),M55,IF(AND(C56="Cool",D56="Fast"),N55,IF(AND(C56="Warm",D56="Slow"),O55,P55)))</f>
        <v/>
      </c>
      <c r="I56" s="29">
        <f>IF(F56="Overheated",0,IF(AND(F56="Cool",G56="Slow"),M55,IF(AND(F56="Cool",G56="Fast"),N55,IF(AND(F56="Warm",G56="Slow"),O55,P55))))</f>
        <v/>
      </c>
      <c r="J56" s="29">
        <f>E56+0.9*I56</f>
        <v/>
      </c>
      <c r="K56" s="29">
        <f>J56-H56</f>
        <v/>
      </c>
      <c r="L56" s="29">
        <f>H56+0.1*K56</f>
        <v/>
      </c>
      <c r="M56" s="29">
        <f>IF(AND(C56="Cool",D56="Slow"),L56,M55)</f>
        <v/>
      </c>
      <c r="N56" s="29">
        <f>IF(AND(C56="Cool",D56="Fast"),L56,N55)</f>
        <v/>
      </c>
      <c r="O56" s="29">
        <f>IF(AND(C56="Warm",D56="Slow"),L56,O55)</f>
        <v/>
      </c>
      <c r="P56" s="29">
        <f>IF(AND(C56="Warm",D56="Fast"),L56,P55)</f>
        <v/>
      </c>
    </row>
    <row r="57">
      <c r="A57" s="9" t="n">
        <v>51</v>
      </c>
      <c r="B57" s="9" t="n">
        <v>3</v>
      </c>
      <c r="C57" s="9" t="inlineStr">
        <is>
          <t>Warm</t>
        </is>
      </c>
      <c r="D57" s="9" t="inlineStr">
        <is>
          <t>Slow</t>
        </is>
      </c>
      <c r="E57" s="9" t="n">
        <v>1</v>
      </c>
      <c r="F57" s="9" t="inlineStr">
        <is>
          <t>Warm</t>
        </is>
      </c>
      <c r="G57" s="9" t="inlineStr">
        <is>
          <t>Slow</t>
        </is>
      </c>
      <c r="H57" s="29">
        <f>IF(AND(C57="Cool",D57="Slow"),M56,IF(AND(C57="Cool",D57="Fast"),N56,IF(AND(C57="Warm",D57="Slow"),O56,P56)))</f>
        <v/>
      </c>
      <c r="I57" s="29">
        <f>IF(F57="Overheated",0,IF(AND(F57="Cool",G57="Slow"),M56,IF(AND(F57="Cool",G57="Fast"),N56,IF(AND(F57="Warm",G57="Slow"),O56,P56))))</f>
        <v/>
      </c>
      <c r="J57" s="29">
        <f>E57+0.9*I57</f>
        <v/>
      </c>
      <c r="K57" s="29">
        <f>J57-H57</f>
        <v/>
      </c>
      <c r="L57" s="29">
        <f>H57+0.1*K57</f>
        <v/>
      </c>
      <c r="M57" s="29">
        <f>IF(AND(C57="Cool",D57="Slow"),L57,M56)</f>
        <v/>
      </c>
      <c r="N57" s="29">
        <f>IF(AND(C57="Cool",D57="Fast"),L57,N56)</f>
        <v/>
      </c>
      <c r="O57" s="29">
        <f>IF(AND(C57="Warm",D57="Slow"),L57,O56)</f>
        <v/>
      </c>
      <c r="P57" s="29">
        <f>IF(AND(C57="Warm",D57="Fast"),L57,P56)</f>
        <v/>
      </c>
    </row>
    <row r="58">
      <c r="A58" s="9" t="n">
        <v>52</v>
      </c>
      <c r="B58" s="9" t="n">
        <v>3</v>
      </c>
      <c r="C58" s="9" t="inlineStr">
        <is>
          <t>Warm</t>
        </is>
      </c>
      <c r="D58" s="9" t="inlineStr">
        <is>
          <t>Slow</t>
        </is>
      </c>
      <c r="E58" s="9" t="n">
        <v>1</v>
      </c>
      <c r="F58" s="9" t="inlineStr">
        <is>
          <t>Warm</t>
        </is>
      </c>
      <c r="G58" s="9" t="inlineStr">
        <is>
          <t>Slow</t>
        </is>
      </c>
      <c r="H58" s="29">
        <f>IF(AND(C58="Cool",D58="Slow"),M57,IF(AND(C58="Cool",D58="Fast"),N57,IF(AND(C58="Warm",D58="Slow"),O57,P57)))</f>
        <v/>
      </c>
      <c r="I58" s="29">
        <f>IF(F58="Overheated",0,IF(AND(F58="Cool",G58="Slow"),M57,IF(AND(F58="Cool",G58="Fast"),N57,IF(AND(F58="Warm",G58="Slow"),O57,P57))))</f>
        <v/>
      </c>
      <c r="J58" s="29">
        <f>E58+0.9*I58</f>
        <v/>
      </c>
      <c r="K58" s="29">
        <f>J58-H58</f>
        <v/>
      </c>
      <c r="L58" s="29">
        <f>H58+0.1*K58</f>
        <v/>
      </c>
      <c r="M58" s="29">
        <f>IF(AND(C58="Cool",D58="Slow"),L58,M57)</f>
        <v/>
      </c>
      <c r="N58" s="29">
        <f>IF(AND(C58="Cool",D58="Fast"),L58,N57)</f>
        <v/>
      </c>
      <c r="O58" s="29">
        <f>IF(AND(C58="Warm",D58="Slow"),L58,O57)</f>
        <v/>
      </c>
      <c r="P58" s="29">
        <f>IF(AND(C58="Warm",D58="Fast"),L58,P57)</f>
        <v/>
      </c>
    </row>
    <row r="59">
      <c r="A59" s="9" t="n">
        <v>53</v>
      </c>
      <c r="B59" s="9" t="n">
        <v>3</v>
      </c>
      <c r="C59" s="9" t="inlineStr">
        <is>
          <t>Warm</t>
        </is>
      </c>
      <c r="D59" s="9" t="inlineStr">
        <is>
          <t>Slow</t>
        </is>
      </c>
      <c r="E59" s="9" t="n">
        <v>1</v>
      </c>
      <c r="F59" s="9" t="inlineStr">
        <is>
          <t>Cool</t>
        </is>
      </c>
      <c r="G59" s="9" t="inlineStr">
        <is>
          <t>Fast</t>
        </is>
      </c>
      <c r="H59" s="29">
        <f>IF(AND(C59="Cool",D59="Slow"),M58,IF(AND(C59="Cool",D59="Fast"),N58,IF(AND(C59="Warm",D59="Slow"),O58,P58)))</f>
        <v/>
      </c>
      <c r="I59" s="29">
        <f>IF(F59="Overheated",0,IF(AND(F59="Cool",G59="Slow"),M58,IF(AND(F59="Cool",G59="Fast"),N58,IF(AND(F59="Warm",G59="Slow"),O58,P58))))</f>
        <v/>
      </c>
      <c r="J59" s="29">
        <f>E59+0.9*I59</f>
        <v/>
      </c>
      <c r="K59" s="29">
        <f>J59-H59</f>
        <v/>
      </c>
      <c r="L59" s="29">
        <f>H59+0.1*K59</f>
        <v/>
      </c>
      <c r="M59" s="29">
        <f>IF(AND(C59="Cool",D59="Slow"),L59,M58)</f>
        <v/>
      </c>
      <c r="N59" s="29">
        <f>IF(AND(C59="Cool",D59="Fast"),L59,N58)</f>
        <v/>
      </c>
      <c r="O59" s="29">
        <f>IF(AND(C59="Warm",D59="Slow"),L59,O58)</f>
        <v/>
      </c>
      <c r="P59" s="29">
        <f>IF(AND(C59="Warm",D59="Fast"),L59,P58)</f>
        <v/>
      </c>
    </row>
    <row r="60">
      <c r="A60" s="9" t="n">
        <v>54</v>
      </c>
      <c r="B60" s="9" t="n">
        <v>3</v>
      </c>
      <c r="C60" s="9" t="inlineStr">
        <is>
          <t>Cool</t>
        </is>
      </c>
      <c r="D60" s="9" t="inlineStr">
        <is>
          <t>Fast</t>
        </is>
      </c>
      <c r="E60" s="9" t="n">
        <v>2</v>
      </c>
      <c r="F60" s="9" t="inlineStr">
        <is>
          <t>Cool</t>
        </is>
      </c>
      <c r="G60" s="9" t="inlineStr">
        <is>
          <t>Fast</t>
        </is>
      </c>
      <c r="H60" s="29">
        <f>IF(AND(C60="Cool",D60="Slow"),M59,IF(AND(C60="Cool",D60="Fast"),N59,IF(AND(C60="Warm",D60="Slow"),O59,P59)))</f>
        <v/>
      </c>
      <c r="I60" s="29">
        <f>IF(F60="Overheated",0,IF(AND(F60="Cool",G60="Slow"),M59,IF(AND(F60="Cool",G60="Fast"),N59,IF(AND(F60="Warm",G60="Slow"),O59,P59))))</f>
        <v/>
      </c>
      <c r="J60" s="29">
        <f>E60+0.9*I60</f>
        <v/>
      </c>
      <c r="K60" s="29">
        <f>J60-H60</f>
        <v/>
      </c>
      <c r="L60" s="29">
        <f>H60+0.1*K60</f>
        <v/>
      </c>
      <c r="M60" s="29">
        <f>IF(AND(C60="Cool",D60="Slow"),L60,M59)</f>
        <v/>
      </c>
      <c r="N60" s="29">
        <f>IF(AND(C60="Cool",D60="Fast"),L60,N59)</f>
        <v/>
      </c>
      <c r="O60" s="29">
        <f>IF(AND(C60="Warm",D60="Slow"),L60,O59)</f>
        <v/>
      </c>
      <c r="P60" s="29">
        <f>IF(AND(C60="Warm",D60="Fast"),L60,P59)</f>
        <v/>
      </c>
    </row>
    <row r="61">
      <c r="A61" s="9" t="n">
        <v>55</v>
      </c>
      <c r="B61" s="9" t="n">
        <v>3</v>
      </c>
      <c r="C61" s="9" t="inlineStr">
        <is>
          <t>Cool</t>
        </is>
      </c>
      <c r="D61" s="9" t="inlineStr">
        <is>
          <t>Fast</t>
        </is>
      </c>
      <c r="E61" s="9" t="n">
        <v>2</v>
      </c>
      <c r="F61" s="9" t="inlineStr">
        <is>
          <t>Warm</t>
        </is>
      </c>
      <c r="G61" s="9" t="inlineStr">
        <is>
          <t>Slow</t>
        </is>
      </c>
      <c r="H61" s="29">
        <f>IF(AND(C61="Cool",D61="Slow"),M60,IF(AND(C61="Cool",D61="Fast"),N60,IF(AND(C61="Warm",D61="Slow"),O60,P60)))</f>
        <v/>
      </c>
      <c r="I61" s="29">
        <f>IF(F61="Overheated",0,IF(AND(F61="Cool",G61="Slow"),M60,IF(AND(F61="Cool",G61="Fast"),N60,IF(AND(F61="Warm",G61="Slow"),O60,P60))))</f>
        <v/>
      </c>
      <c r="J61" s="29">
        <f>E61+0.9*I61</f>
        <v/>
      </c>
      <c r="K61" s="29">
        <f>J61-H61</f>
        <v/>
      </c>
      <c r="L61" s="29">
        <f>H61+0.1*K61</f>
        <v/>
      </c>
      <c r="M61" s="29">
        <f>IF(AND(C61="Cool",D61="Slow"),L61,M60)</f>
        <v/>
      </c>
      <c r="N61" s="29">
        <f>IF(AND(C61="Cool",D61="Fast"),L61,N60)</f>
        <v/>
      </c>
      <c r="O61" s="29">
        <f>IF(AND(C61="Warm",D61="Slow"),L61,O60)</f>
        <v/>
      </c>
      <c r="P61" s="29">
        <f>IF(AND(C61="Warm",D61="Fast"),L61,P60)</f>
        <v/>
      </c>
    </row>
    <row r="62">
      <c r="A62" s="9" t="n">
        <v>56</v>
      </c>
      <c r="B62" s="9" t="n">
        <v>3</v>
      </c>
      <c r="C62" s="9" t="inlineStr">
        <is>
          <t>Warm</t>
        </is>
      </c>
      <c r="D62" s="9" t="inlineStr">
        <is>
          <t>Slow</t>
        </is>
      </c>
      <c r="E62" s="9" t="n">
        <v>1</v>
      </c>
      <c r="F62" s="9" t="inlineStr">
        <is>
          <t>Warm</t>
        </is>
      </c>
      <c r="G62" s="9" t="inlineStr">
        <is>
          <t>Slow</t>
        </is>
      </c>
      <c r="H62" s="29">
        <f>IF(AND(C62="Cool",D62="Slow"),M61,IF(AND(C62="Cool",D62="Fast"),N61,IF(AND(C62="Warm",D62="Slow"),O61,P61)))</f>
        <v/>
      </c>
      <c r="I62" s="29">
        <f>IF(F62="Overheated",0,IF(AND(F62="Cool",G62="Slow"),M61,IF(AND(F62="Cool",G62="Fast"),N61,IF(AND(F62="Warm",G62="Slow"),O61,P61))))</f>
        <v/>
      </c>
      <c r="J62" s="29">
        <f>E62+0.9*I62</f>
        <v/>
      </c>
      <c r="K62" s="29">
        <f>J62-H62</f>
        <v/>
      </c>
      <c r="L62" s="29">
        <f>H62+0.1*K62</f>
        <v/>
      </c>
      <c r="M62" s="29">
        <f>IF(AND(C62="Cool",D62="Slow"),L62,M61)</f>
        <v/>
      </c>
      <c r="N62" s="29">
        <f>IF(AND(C62="Cool",D62="Fast"),L62,N61)</f>
        <v/>
      </c>
      <c r="O62" s="29">
        <f>IF(AND(C62="Warm",D62="Slow"),L62,O61)</f>
        <v/>
      </c>
      <c r="P62" s="29">
        <f>IF(AND(C62="Warm",D62="Fast"),L62,P61)</f>
        <v/>
      </c>
    </row>
    <row r="63">
      <c r="A63" s="9" t="n">
        <v>57</v>
      </c>
      <c r="B63" s="9" t="n">
        <v>3</v>
      </c>
      <c r="C63" s="9" t="inlineStr">
        <is>
          <t>Warm</t>
        </is>
      </c>
      <c r="D63" s="9" t="inlineStr">
        <is>
          <t>Slow</t>
        </is>
      </c>
      <c r="E63" s="9" t="n">
        <v>1</v>
      </c>
      <c r="F63" s="9" t="inlineStr">
        <is>
          <t>Warm</t>
        </is>
      </c>
      <c r="G63" s="9" t="inlineStr">
        <is>
          <t>Slow</t>
        </is>
      </c>
      <c r="H63" s="29">
        <f>IF(AND(C63="Cool",D63="Slow"),M62,IF(AND(C63="Cool",D63="Fast"),N62,IF(AND(C63="Warm",D63="Slow"),O62,P62)))</f>
        <v/>
      </c>
      <c r="I63" s="29">
        <f>IF(F63="Overheated",0,IF(AND(F63="Cool",G63="Slow"),M62,IF(AND(F63="Cool",G63="Fast"),N62,IF(AND(F63="Warm",G63="Slow"),O62,P62))))</f>
        <v/>
      </c>
      <c r="J63" s="29">
        <f>E63+0.9*I63</f>
        <v/>
      </c>
      <c r="K63" s="29">
        <f>J63-H63</f>
        <v/>
      </c>
      <c r="L63" s="29">
        <f>H63+0.1*K63</f>
        <v/>
      </c>
      <c r="M63" s="29">
        <f>IF(AND(C63="Cool",D63="Slow"),L63,M62)</f>
        <v/>
      </c>
      <c r="N63" s="29">
        <f>IF(AND(C63="Cool",D63="Fast"),L63,N62)</f>
        <v/>
      </c>
      <c r="O63" s="29">
        <f>IF(AND(C63="Warm",D63="Slow"),L63,O62)</f>
        <v/>
      </c>
      <c r="P63" s="29">
        <f>IF(AND(C63="Warm",D63="Fast"),L63,P62)</f>
        <v/>
      </c>
    </row>
    <row r="64">
      <c r="A64" s="9" t="n">
        <v>58</v>
      </c>
      <c r="B64" s="9" t="n">
        <v>3</v>
      </c>
      <c r="C64" s="9" t="inlineStr">
        <is>
          <t>Warm</t>
        </is>
      </c>
      <c r="D64" s="9" t="inlineStr">
        <is>
          <t>Slow</t>
        </is>
      </c>
      <c r="E64" s="9" t="n">
        <v>1</v>
      </c>
      <c r="F64" s="9" t="inlineStr">
        <is>
          <t>Cool</t>
        </is>
      </c>
      <c r="G64" s="9" t="inlineStr">
        <is>
          <t>Slow</t>
        </is>
      </c>
      <c r="H64" s="29">
        <f>IF(AND(C64="Cool",D64="Slow"),M63,IF(AND(C64="Cool",D64="Fast"),N63,IF(AND(C64="Warm",D64="Slow"),O63,P63)))</f>
        <v/>
      </c>
      <c r="I64" s="29">
        <f>IF(F64="Overheated",0,IF(AND(F64="Cool",G64="Slow"),M63,IF(AND(F64="Cool",G64="Fast"),N63,IF(AND(F64="Warm",G64="Slow"),O63,P63))))</f>
        <v/>
      </c>
      <c r="J64" s="29">
        <f>E64+0.9*I64</f>
        <v/>
      </c>
      <c r="K64" s="29">
        <f>J64-H64</f>
        <v/>
      </c>
      <c r="L64" s="29">
        <f>H64+0.1*K64</f>
        <v/>
      </c>
      <c r="M64" s="29">
        <f>IF(AND(C64="Cool",D64="Slow"),L64,M63)</f>
        <v/>
      </c>
      <c r="N64" s="29">
        <f>IF(AND(C64="Cool",D64="Fast"),L64,N63)</f>
        <v/>
      </c>
      <c r="O64" s="29">
        <f>IF(AND(C64="Warm",D64="Slow"),L64,O63)</f>
        <v/>
      </c>
      <c r="P64" s="29">
        <f>IF(AND(C64="Warm",D64="Fast"),L64,P63)</f>
        <v/>
      </c>
    </row>
    <row r="65">
      <c r="A65" s="9" t="n">
        <v>59</v>
      </c>
      <c r="B65" s="9" t="n">
        <v>3</v>
      </c>
      <c r="C65" s="9" t="inlineStr">
        <is>
          <t>Cool</t>
        </is>
      </c>
      <c r="D65" s="9" t="inlineStr">
        <is>
          <t>Slow</t>
        </is>
      </c>
      <c r="E65" s="9" t="n">
        <v>1</v>
      </c>
      <c r="F65" s="9" t="inlineStr">
        <is>
          <t>Warm</t>
        </is>
      </c>
      <c r="G65" s="9" t="inlineStr">
        <is>
          <t>Fast</t>
        </is>
      </c>
      <c r="H65" s="29">
        <f>IF(AND(C65="Cool",D65="Slow"),M64,IF(AND(C65="Cool",D65="Fast"),N64,IF(AND(C65="Warm",D65="Slow"),O64,P64)))</f>
        <v/>
      </c>
      <c r="I65" s="29">
        <f>IF(F65="Overheated",0,IF(AND(F65="Cool",G65="Slow"),M64,IF(AND(F65="Cool",G65="Fast"),N64,IF(AND(F65="Warm",G65="Slow"),O64,P64))))</f>
        <v/>
      </c>
      <c r="J65" s="29">
        <f>E65+0.9*I65</f>
        <v/>
      </c>
      <c r="K65" s="29">
        <f>J65-H65</f>
        <v/>
      </c>
      <c r="L65" s="29">
        <f>H65+0.1*K65</f>
        <v/>
      </c>
      <c r="M65" s="29">
        <f>IF(AND(C65="Cool",D65="Slow"),L65,M64)</f>
        <v/>
      </c>
      <c r="N65" s="29">
        <f>IF(AND(C65="Cool",D65="Fast"),L65,N64)</f>
        <v/>
      </c>
      <c r="O65" s="29">
        <f>IF(AND(C65="Warm",D65="Slow"),L65,O64)</f>
        <v/>
      </c>
      <c r="P65" s="29">
        <f>IF(AND(C65="Warm",D65="Fast"),L65,P64)</f>
        <v/>
      </c>
    </row>
    <row r="66">
      <c r="A66" s="20" t="n">
        <v>60</v>
      </c>
      <c r="B66" s="20" t="n">
        <v>3</v>
      </c>
      <c r="C66" s="20" t="inlineStr">
        <is>
          <t>Warm</t>
        </is>
      </c>
      <c r="D66" s="20" t="inlineStr">
        <is>
          <t>Fast</t>
        </is>
      </c>
      <c r="E66" s="20" t="n">
        <v>-10</v>
      </c>
      <c r="F66" s="20" t="inlineStr">
        <is>
          <t>Overheated</t>
        </is>
      </c>
      <c r="G66" s="20" t="inlineStr">
        <is>
          <t>—</t>
        </is>
      </c>
      <c r="H66" s="29">
        <f>IF(AND(C66="Cool",D66="Slow"),M65,IF(AND(C66="Cool",D66="Fast"),N65,IF(AND(C66="Warm",D66="Slow"),O65,P65)))</f>
        <v/>
      </c>
      <c r="I66" s="29">
        <f>IF(F66="Overheated",0,IF(AND(F66="Cool",G66="Slow"),M65,IF(AND(F66="Cool",G66="Fast"),N65,IF(AND(F66="Warm",G66="Slow"),O65,P65))))</f>
        <v/>
      </c>
      <c r="J66" s="29">
        <f>E66+0.9*I66</f>
        <v/>
      </c>
      <c r="K66" s="29">
        <f>J66-H66</f>
        <v/>
      </c>
      <c r="L66" s="29">
        <f>H66+0.1*K66</f>
        <v/>
      </c>
      <c r="M66" s="29">
        <f>IF(AND(C66="Cool",D66="Slow"),L66,M65)</f>
        <v/>
      </c>
      <c r="N66" s="29">
        <f>IF(AND(C66="Cool",D66="Fast"),L66,N65)</f>
        <v/>
      </c>
      <c r="O66" s="29">
        <f>IF(AND(C66="Warm",D66="Slow"),L66,O65)</f>
        <v/>
      </c>
      <c r="P66" s="29">
        <f>IF(AND(C66="Warm",D66="Fast"),L66,P65)</f>
        <v/>
      </c>
    </row>
    <row r="67">
      <c r="A67" s="9" t="n">
        <v>61</v>
      </c>
      <c r="B67" s="9" t="n">
        <v>4</v>
      </c>
      <c r="C67" s="9" t="inlineStr">
        <is>
          <t>Cool</t>
        </is>
      </c>
      <c r="D67" s="9" t="inlineStr">
        <is>
          <t>Fast</t>
        </is>
      </c>
      <c r="E67" s="9" t="n">
        <v>2</v>
      </c>
      <c r="F67" s="9" t="inlineStr">
        <is>
          <t>Cool</t>
        </is>
      </c>
      <c r="G67" s="9" t="inlineStr">
        <is>
          <t>Fast</t>
        </is>
      </c>
      <c r="H67" s="29">
        <f>IF(AND(C67="Cool",D67="Slow"),M66,IF(AND(C67="Cool",D67="Fast"),N66,IF(AND(C67="Warm",D67="Slow"),O66,P66)))</f>
        <v/>
      </c>
      <c r="I67" s="29">
        <f>IF(F67="Overheated",0,IF(AND(F67="Cool",G67="Slow"),M66,IF(AND(F67="Cool",G67="Fast"),N66,IF(AND(F67="Warm",G67="Slow"),O66,P66))))</f>
        <v/>
      </c>
      <c r="J67" s="29">
        <f>E67+0.9*I67</f>
        <v/>
      </c>
      <c r="K67" s="29">
        <f>J67-H67</f>
        <v/>
      </c>
      <c r="L67" s="29">
        <f>H67+0.1*K67</f>
        <v/>
      </c>
      <c r="M67" s="29">
        <f>IF(AND(C67="Cool",D67="Slow"),L67,M66)</f>
        <v/>
      </c>
      <c r="N67" s="29">
        <f>IF(AND(C67="Cool",D67="Fast"),L67,N66)</f>
        <v/>
      </c>
      <c r="O67" s="29">
        <f>IF(AND(C67="Warm",D67="Slow"),L67,O66)</f>
        <v/>
      </c>
      <c r="P67" s="29">
        <f>IF(AND(C67="Warm",D67="Fast"),L67,P66)</f>
        <v/>
      </c>
    </row>
    <row r="68">
      <c r="A68" s="9" t="n">
        <v>62</v>
      </c>
      <c r="B68" s="9" t="n">
        <v>4</v>
      </c>
      <c r="C68" s="9" t="inlineStr">
        <is>
          <t>Cool</t>
        </is>
      </c>
      <c r="D68" s="9" t="inlineStr">
        <is>
          <t>Fast</t>
        </is>
      </c>
      <c r="E68" s="9" t="n">
        <v>2</v>
      </c>
      <c r="F68" s="9" t="inlineStr">
        <is>
          <t>Warm</t>
        </is>
      </c>
      <c r="G68" s="9" t="inlineStr">
        <is>
          <t>Slow</t>
        </is>
      </c>
      <c r="H68" s="29">
        <f>IF(AND(C68="Cool",D68="Slow"),M67,IF(AND(C68="Cool",D68="Fast"),N67,IF(AND(C68="Warm",D68="Slow"),O67,P67)))</f>
        <v/>
      </c>
      <c r="I68" s="29">
        <f>IF(F68="Overheated",0,IF(AND(F68="Cool",G68="Slow"),M67,IF(AND(F68="Cool",G68="Fast"),N67,IF(AND(F68="Warm",G68="Slow"),O67,P67))))</f>
        <v/>
      </c>
      <c r="J68" s="29">
        <f>E68+0.9*I68</f>
        <v/>
      </c>
      <c r="K68" s="29">
        <f>J68-H68</f>
        <v/>
      </c>
      <c r="L68" s="29">
        <f>H68+0.1*K68</f>
        <v/>
      </c>
      <c r="M68" s="29">
        <f>IF(AND(C68="Cool",D68="Slow"),L68,M67)</f>
        <v/>
      </c>
      <c r="N68" s="29">
        <f>IF(AND(C68="Cool",D68="Fast"),L68,N67)</f>
        <v/>
      </c>
      <c r="O68" s="29">
        <f>IF(AND(C68="Warm",D68="Slow"),L68,O67)</f>
        <v/>
      </c>
      <c r="P68" s="29">
        <f>IF(AND(C68="Warm",D68="Fast"),L68,P67)</f>
        <v/>
      </c>
    </row>
    <row r="69">
      <c r="A69" s="9" t="n">
        <v>63</v>
      </c>
      <c r="B69" s="9" t="n">
        <v>4</v>
      </c>
      <c r="C69" s="9" t="inlineStr">
        <is>
          <t>Warm</t>
        </is>
      </c>
      <c r="D69" s="9" t="inlineStr">
        <is>
          <t>Slow</t>
        </is>
      </c>
      <c r="E69" s="9" t="n">
        <v>1</v>
      </c>
      <c r="F69" s="9" t="inlineStr">
        <is>
          <t>Cool</t>
        </is>
      </c>
      <c r="G69" s="9" t="inlineStr">
        <is>
          <t>Fast</t>
        </is>
      </c>
      <c r="H69" s="29">
        <f>IF(AND(C69="Cool",D69="Slow"),M68,IF(AND(C69="Cool",D69="Fast"),N68,IF(AND(C69="Warm",D69="Slow"),O68,P68)))</f>
        <v/>
      </c>
      <c r="I69" s="29">
        <f>IF(F69="Overheated",0,IF(AND(F69="Cool",G69="Slow"),M68,IF(AND(F69="Cool",G69="Fast"),N68,IF(AND(F69="Warm",G69="Slow"),O68,P68))))</f>
        <v/>
      </c>
      <c r="J69" s="29">
        <f>E69+0.9*I69</f>
        <v/>
      </c>
      <c r="K69" s="29">
        <f>J69-H69</f>
        <v/>
      </c>
      <c r="L69" s="29">
        <f>H69+0.1*K69</f>
        <v/>
      </c>
      <c r="M69" s="29">
        <f>IF(AND(C69="Cool",D69="Slow"),L69,M68)</f>
        <v/>
      </c>
      <c r="N69" s="29">
        <f>IF(AND(C69="Cool",D69="Fast"),L69,N68)</f>
        <v/>
      </c>
      <c r="O69" s="29">
        <f>IF(AND(C69="Warm",D69="Slow"),L69,O68)</f>
        <v/>
      </c>
      <c r="P69" s="29">
        <f>IF(AND(C69="Warm",D69="Fast"),L69,P68)</f>
        <v/>
      </c>
    </row>
    <row r="70">
      <c r="A70" s="9" t="n">
        <v>64</v>
      </c>
      <c r="B70" s="9" t="n">
        <v>4</v>
      </c>
      <c r="C70" s="9" t="inlineStr">
        <is>
          <t>Cool</t>
        </is>
      </c>
      <c r="D70" s="9" t="inlineStr">
        <is>
          <t>Fast</t>
        </is>
      </c>
      <c r="E70" s="9" t="n">
        <v>2</v>
      </c>
      <c r="F70" s="9" t="inlineStr">
        <is>
          <t>Cool</t>
        </is>
      </c>
      <c r="G70" s="9" t="inlineStr">
        <is>
          <t>Fast</t>
        </is>
      </c>
      <c r="H70" s="29">
        <f>IF(AND(C70="Cool",D70="Slow"),M69,IF(AND(C70="Cool",D70="Fast"),N69,IF(AND(C70="Warm",D70="Slow"),O69,P69)))</f>
        <v/>
      </c>
      <c r="I70" s="29">
        <f>IF(F70="Overheated",0,IF(AND(F70="Cool",G70="Slow"),M69,IF(AND(F70="Cool",G70="Fast"),N69,IF(AND(F70="Warm",G70="Slow"),O69,P69))))</f>
        <v/>
      </c>
      <c r="J70" s="29">
        <f>E70+0.9*I70</f>
        <v/>
      </c>
      <c r="K70" s="29">
        <f>J70-H70</f>
        <v/>
      </c>
      <c r="L70" s="29">
        <f>H70+0.1*K70</f>
        <v/>
      </c>
      <c r="M70" s="29">
        <f>IF(AND(C70="Cool",D70="Slow"),L70,M69)</f>
        <v/>
      </c>
      <c r="N70" s="29">
        <f>IF(AND(C70="Cool",D70="Fast"),L70,N69)</f>
        <v/>
      </c>
      <c r="O70" s="29">
        <f>IF(AND(C70="Warm",D70="Slow"),L70,O69)</f>
        <v/>
      </c>
      <c r="P70" s="29">
        <f>IF(AND(C70="Warm",D70="Fast"),L70,P69)</f>
        <v/>
      </c>
    </row>
    <row r="71">
      <c r="A71" s="9" t="n">
        <v>65</v>
      </c>
      <c r="B71" s="9" t="n">
        <v>4</v>
      </c>
      <c r="C71" s="9" t="inlineStr">
        <is>
          <t>Cool</t>
        </is>
      </c>
      <c r="D71" s="9" t="inlineStr">
        <is>
          <t>Fast</t>
        </is>
      </c>
      <c r="E71" s="9" t="n">
        <v>2</v>
      </c>
      <c r="F71" s="9" t="inlineStr">
        <is>
          <t>Cool</t>
        </is>
      </c>
      <c r="G71" s="9" t="inlineStr">
        <is>
          <t>Fast</t>
        </is>
      </c>
      <c r="H71" s="29">
        <f>IF(AND(C71="Cool",D71="Slow"),M70,IF(AND(C71="Cool",D71="Fast"),N70,IF(AND(C71="Warm",D71="Slow"),O70,P70)))</f>
        <v/>
      </c>
      <c r="I71" s="29">
        <f>IF(F71="Overheated",0,IF(AND(F71="Cool",G71="Slow"),M70,IF(AND(F71="Cool",G71="Fast"),N70,IF(AND(F71="Warm",G71="Slow"),O70,P70))))</f>
        <v/>
      </c>
      <c r="J71" s="29">
        <f>E71+0.9*I71</f>
        <v/>
      </c>
      <c r="K71" s="29">
        <f>J71-H71</f>
        <v/>
      </c>
      <c r="L71" s="29">
        <f>H71+0.1*K71</f>
        <v/>
      </c>
      <c r="M71" s="29">
        <f>IF(AND(C71="Cool",D71="Slow"),L71,M70)</f>
        <v/>
      </c>
      <c r="N71" s="29">
        <f>IF(AND(C71="Cool",D71="Fast"),L71,N70)</f>
        <v/>
      </c>
      <c r="O71" s="29">
        <f>IF(AND(C71="Warm",D71="Slow"),L71,O70)</f>
        <v/>
      </c>
      <c r="P71" s="29">
        <f>IF(AND(C71="Warm",D71="Fast"),L71,P70)</f>
        <v/>
      </c>
    </row>
    <row r="72">
      <c r="A72" s="9" t="n">
        <v>66</v>
      </c>
      <c r="B72" s="9" t="n">
        <v>4</v>
      </c>
      <c r="C72" s="9" t="inlineStr">
        <is>
          <t>Cool</t>
        </is>
      </c>
      <c r="D72" s="9" t="inlineStr">
        <is>
          <t>Fast</t>
        </is>
      </c>
      <c r="E72" s="9" t="n">
        <v>2</v>
      </c>
      <c r="F72" s="9" t="inlineStr">
        <is>
          <t>Warm</t>
        </is>
      </c>
      <c r="G72" s="9" t="inlineStr">
        <is>
          <t>Slow</t>
        </is>
      </c>
      <c r="H72" s="29">
        <f>IF(AND(C72="Cool",D72="Slow"),M71,IF(AND(C72="Cool",D72="Fast"),N71,IF(AND(C72="Warm",D72="Slow"),O71,P71)))</f>
        <v/>
      </c>
      <c r="I72" s="29">
        <f>IF(F72="Overheated",0,IF(AND(F72="Cool",G72="Slow"),M71,IF(AND(F72="Cool",G72="Fast"),N71,IF(AND(F72="Warm",G72="Slow"),O71,P71))))</f>
        <v/>
      </c>
      <c r="J72" s="29">
        <f>E72+0.9*I72</f>
        <v/>
      </c>
      <c r="K72" s="29">
        <f>J72-H72</f>
        <v/>
      </c>
      <c r="L72" s="29">
        <f>H72+0.1*K72</f>
        <v/>
      </c>
      <c r="M72" s="29">
        <f>IF(AND(C72="Cool",D72="Slow"),L72,M71)</f>
        <v/>
      </c>
      <c r="N72" s="29">
        <f>IF(AND(C72="Cool",D72="Fast"),L72,N71)</f>
        <v/>
      </c>
      <c r="O72" s="29">
        <f>IF(AND(C72="Warm",D72="Slow"),L72,O71)</f>
        <v/>
      </c>
      <c r="P72" s="29">
        <f>IF(AND(C72="Warm",D72="Fast"),L72,P71)</f>
        <v/>
      </c>
    </row>
    <row r="73">
      <c r="A73" s="9" t="n">
        <v>67</v>
      </c>
      <c r="B73" s="9" t="n">
        <v>4</v>
      </c>
      <c r="C73" s="9" t="inlineStr">
        <is>
          <t>Warm</t>
        </is>
      </c>
      <c r="D73" s="9" t="inlineStr">
        <is>
          <t>Slow</t>
        </is>
      </c>
      <c r="E73" s="9" t="n">
        <v>1</v>
      </c>
      <c r="F73" s="9" t="inlineStr">
        <is>
          <t>Warm</t>
        </is>
      </c>
      <c r="G73" s="9" t="inlineStr">
        <is>
          <t>Slow</t>
        </is>
      </c>
      <c r="H73" s="29">
        <f>IF(AND(C73="Cool",D73="Slow"),M72,IF(AND(C73="Cool",D73="Fast"),N72,IF(AND(C73="Warm",D73="Slow"),O72,P72)))</f>
        <v/>
      </c>
      <c r="I73" s="29">
        <f>IF(F73="Overheated",0,IF(AND(F73="Cool",G73="Slow"),M72,IF(AND(F73="Cool",G73="Fast"),N72,IF(AND(F73="Warm",G73="Slow"),O72,P72))))</f>
        <v/>
      </c>
      <c r="J73" s="29">
        <f>E73+0.9*I73</f>
        <v/>
      </c>
      <c r="K73" s="29">
        <f>J73-H73</f>
        <v/>
      </c>
      <c r="L73" s="29">
        <f>H73+0.1*K73</f>
        <v/>
      </c>
      <c r="M73" s="29">
        <f>IF(AND(C73="Cool",D73="Slow"),L73,M72)</f>
        <v/>
      </c>
      <c r="N73" s="29">
        <f>IF(AND(C73="Cool",D73="Fast"),L73,N72)</f>
        <v/>
      </c>
      <c r="O73" s="29">
        <f>IF(AND(C73="Warm",D73="Slow"),L73,O72)</f>
        <v/>
      </c>
      <c r="P73" s="29">
        <f>IF(AND(C73="Warm",D73="Fast"),L73,P72)</f>
        <v/>
      </c>
    </row>
    <row r="74">
      <c r="A74" s="9" t="n">
        <v>68</v>
      </c>
      <c r="B74" s="9" t="n">
        <v>4</v>
      </c>
      <c r="C74" s="9" t="inlineStr">
        <is>
          <t>Warm</t>
        </is>
      </c>
      <c r="D74" s="9" t="inlineStr">
        <is>
          <t>Slow</t>
        </is>
      </c>
      <c r="E74" s="9" t="n">
        <v>1</v>
      </c>
      <c r="F74" s="9" t="inlineStr">
        <is>
          <t>Warm</t>
        </is>
      </c>
      <c r="G74" s="9" t="inlineStr">
        <is>
          <t>Slow</t>
        </is>
      </c>
      <c r="H74" s="29">
        <f>IF(AND(C74="Cool",D74="Slow"),M73,IF(AND(C74="Cool",D74="Fast"),N73,IF(AND(C74="Warm",D74="Slow"),O73,P73)))</f>
        <v/>
      </c>
      <c r="I74" s="29">
        <f>IF(F74="Overheated",0,IF(AND(F74="Cool",G74="Slow"),M73,IF(AND(F74="Cool",G74="Fast"),N73,IF(AND(F74="Warm",G74="Slow"),O73,P73))))</f>
        <v/>
      </c>
      <c r="J74" s="29">
        <f>E74+0.9*I74</f>
        <v/>
      </c>
      <c r="K74" s="29">
        <f>J74-H74</f>
        <v/>
      </c>
      <c r="L74" s="29">
        <f>H74+0.1*K74</f>
        <v/>
      </c>
      <c r="M74" s="29">
        <f>IF(AND(C74="Cool",D74="Slow"),L74,M73)</f>
        <v/>
      </c>
      <c r="N74" s="29">
        <f>IF(AND(C74="Cool",D74="Fast"),L74,N73)</f>
        <v/>
      </c>
      <c r="O74" s="29">
        <f>IF(AND(C74="Warm",D74="Slow"),L74,O73)</f>
        <v/>
      </c>
      <c r="P74" s="29">
        <f>IF(AND(C74="Warm",D74="Fast"),L74,P73)</f>
        <v/>
      </c>
    </row>
    <row r="75">
      <c r="A75" s="9" t="n">
        <v>69</v>
      </c>
      <c r="B75" s="9" t="n">
        <v>4</v>
      </c>
      <c r="C75" s="9" t="inlineStr">
        <is>
          <t>Warm</t>
        </is>
      </c>
      <c r="D75" s="9" t="inlineStr">
        <is>
          <t>Slow</t>
        </is>
      </c>
      <c r="E75" s="9" t="n">
        <v>1</v>
      </c>
      <c r="F75" s="9" t="inlineStr">
        <is>
          <t>Cool</t>
        </is>
      </c>
      <c r="G75" s="9" t="inlineStr">
        <is>
          <t>Fast</t>
        </is>
      </c>
      <c r="H75" s="29">
        <f>IF(AND(C75="Cool",D75="Slow"),M74,IF(AND(C75="Cool",D75="Fast"),N74,IF(AND(C75="Warm",D75="Slow"),O74,P74)))</f>
        <v/>
      </c>
      <c r="I75" s="29">
        <f>IF(F75="Overheated",0,IF(AND(F75="Cool",G75="Slow"),M74,IF(AND(F75="Cool",G75="Fast"),N74,IF(AND(F75="Warm",G75="Slow"),O74,P74))))</f>
        <v/>
      </c>
      <c r="J75" s="29">
        <f>E75+0.9*I75</f>
        <v/>
      </c>
      <c r="K75" s="29">
        <f>J75-H75</f>
        <v/>
      </c>
      <c r="L75" s="29">
        <f>H75+0.1*K75</f>
        <v/>
      </c>
      <c r="M75" s="29">
        <f>IF(AND(C75="Cool",D75="Slow"),L75,M74)</f>
        <v/>
      </c>
      <c r="N75" s="29">
        <f>IF(AND(C75="Cool",D75="Fast"),L75,N74)</f>
        <v/>
      </c>
      <c r="O75" s="29">
        <f>IF(AND(C75="Warm",D75="Slow"),L75,O74)</f>
        <v/>
      </c>
      <c r="P75" s="29">
        <f>IF(AND(C75="Warm",D75="Fast"),L75,P74)</f>
        <v/>
      </c>
    </row>
    <row r="76">
      <c r="A76" s="9" t="n">
        <v>70</v>
      </c>
      <c r="B76" s="9" t="n">
        <v>4</v>
      </c>
      <c r="C76" s="9" t="inlineStr">
        <is>
          <t>Cool</t>
        </is>
      </c>
      <c r="D76" s="9" t="inlineStr">
        <is>
          <t>Fast</t>
        </is>
      </c>
      <c r="E76" s="9" t="n">
        <v>2</v>
      </c>
      <c r="F76" s="9" t="inlineStr">
        <is>
          <t>Cool</t>
        </is>
      </c>
      <c r="G76" s="9" t="inlineStr">
        <is>
          <t>Fast</t>
        </is>
      </c>
      <c r="H76" s="29">
        <f>IF(AND(C76="Cool",D76="Slow"),M75,IF(AND(C76="Cool",D76="Fast"),N75,IF(AND(C76="Warm",D76="Slow"),O75,P75)))</f>
        <v/>
      </c>
      <c r="I76" s="29">
        <f>IF(F76="Overheated",0,IF(AND(F76="Cool",G76="Slow"),M75,IF(AND(F76="Cool",G76="Fast"),N75,IF(AND(F76="Warm",G76="Slow"),O75,P75))))</f>
        <v/>
      </c>
      <c r="J76" s="29">
        <f>E76+0.9*I76</f>
        <v/>
      </c>
      <c r="K76" s="29">
        <f>J76-H76</f>
        <v/>
      </c>
      <c r="L76" s="29">
        <f>H76+0.1*K76</f>
        <v/>
      </c>
      <c r="M76" s="29">
        <f>IF(AND(C76="Cool",D76="Slow"),L76,M75)</f>
        <v/>
      </c>
      <c r="N76" s="29">
        <f>IF(AND(C76="Cool",D76="Fast"),L76,N75)</f>
        <v/>
      </c>
      <c r="O76" s="29">
        <f>IF(AND(C76="Warm",D76="Slow"),L76,O75)</f>
        <v/>
      </c>
      <c r="P76" s="29">
        <f>IF(AND(C76="Warm",D76="Fast"),L76,P75)</f>
        <v/>
      </c>
    </row>
    <row r="77">
      <c r="A77" s="9" t="n">
        <v>71</v>
      </c>
      <c r="B77" s="9" t="n">
        <v>4</v>
      </c>
      <c r="C77" s="9" t="inlineStr">
        <is>
          <t>Cool</t>
        </is>
      </c>
      <c r="D77" s="9" t="inlineStr">
        <is>
          <t>Fast</t>
        </is>
      </c>
      <c r="E77" s="9" t="n">
        <v>2</v>
      </c>
      <c r="F77" s="9" t="inlineStr">
        <is>
          <t>Warm</t>
        </is>
      </c>
      <c r="G77" s="9" t="inlineStr">
        <is>
          <t>Slow</t>
        </is>
      </c>
      <c r="H77" s="29">
        <f>IF(AND(C77="Cool",D77="Slow"),M76,IF(AND(C77="Cool",D77="Fast"),N76,IF(AND(C77="Warm",D77="Slow"),O76,P76)))</f>
        <v/>
      </c>
      <c r="I77" s="29">
        <f>IF(F77="Overheated",0,IF(AND(F77="Cool",G77="Slow"),M76,IF(AND(F77="Cool",G77="Fast"),N76,IF(AND(F77="Warm",G77="Slow"),O76,P76))))</f>
        <v/>
      </c>
      <c r="J77" s="29">
        <f>E77+0.9*I77</f>
        <v/>
      </c>
      <c r="K77" s="29">
        <f>J77-H77</f>
        <v/>
      </c>
      <c r="L77" s="29">
        <f>H77+0.1*K77</f>
        <v/>
      </c>
      <c r="M77" s="29">
        <f>IF(AND(C77="Cool",D77="Slow"),L77,M76)</f>
        <v/>
      </c>
      <c r="N77" s="29">
        <f>IF(AND(C77="Cool",D77="Fast"),L77,N76)</f>
        <v/>
      </c>
      <c r="O77" s="29">
        <f>IF(AND(C77="Warm",D77="Slow"),L77,O76)</f>
        <v/>
      </c>
      <c r="P77" s="29">
        <f>IF(AND(C77="Warm",D77="Fast"),L77,P76)</f>
        <v/>
      </c>
    </row>
    <row r="78">
      <c r="A78" s="9" t="n">
        <v>72</v>
      </c>
      <c r="B78" s="9" t="n">
        <v>4</v>
      </c>
      <c r="C78" s="9" t="inlineStr">
        <is>
          <t>Warm</t>
        </is>
      </c>
      <c r="D78" s="9" t="inlineStr">
        <is>
          <t>Slow</t>
        </is>
      </c>
      <c r="E78" s="9" t="n">
        <v>1</v>
      </c>
      <c r="F78" s="9" t="inlineStr">
        <is>
          <t>Cool</t>
        </is>
      </c>
      <c r="G78" s="9" t="inlineStr">
        <is>
          <t>Fast</t>
        </is>
      </c>
      <c r="H78" s="29">
        <f>IF(AND(C78="Cool",D78="Slow"),M77,IF(AND(C78="Cool",D78="Fast"),N77,IF(AND(C78="Warm",D78="Slow"),O77,P77)))</f>
        <v/>
      </c>
      <c r="I78" s="29">
        <f>IF(F78="Overheated",0,IF(AND(F78="Cool",G78="Slow"),M77,IF(AND(F78="Cool",G78="Fast"),N77,IF(AND(F78="Warm",G78="Slow"),O77,P77))))</f>
        <v/>
      </c>
      <c r="J78" s="29">
        <f>E78+0.9*I78</f>
        <v/>
      </c>
      <c r="K78" s="29">
        <f>J78-H78</f>
        <v/>
      </c>
      <c r="L78" s="29">
        <f>H78+0.1*K78</f>
        <v/>
      </c>
      <c r="M78" s="29">
        <f>IF(AND(C78="Cool",D78="Slow"),L78,M77)</f>
        <v/>
      </c>
      <c r="N78" s="29">
        <f>IF(AND(C78="Cool",D78="Fast"),L78,N77)</f>
        <v/>
      </c>
      <c r="O78" s="29">
        <f>IF(AND(C78="Warm",D78="Slow"),L78,O77)</f>
        <v/>
      </c>
      <c r="P78" s="29">
        <f>IF(AND(C78="Warm",D78="Fast"),L78,P77)</f>
        <v/>
      </c>
    </row>
    <row r="79">
      <c r="A79" s="9" t="n">
        <v>73</v>
      </c>
      <c r="B79" s="9" t="n">
        <v>4</v>
      </c>
      <c r="C79" s="9" t="inlineStr">
        <is>
          <t>Cool</t>
        </is>
      </c>
      <c r="D79" s="9" t="inlineStr">
        <is>
          <t>Fast</t>
        </is>
      </c>
      <c r="E79" s="9" t="n">
        <v>2</v>
      </c>
      <c r="F79" s="9" t="inlineStr">
        <is>
          <t>Warm</t>
        </is>
      </c>
      <c r="G79" s="9" t="inlineStr">
        <is>
          <t>Fast</t>
        </is>
      </c>
      <c r="H79" s="29">
        <f>IF(AND(C79="Cool",D79="Slow"),M78,IF(AND(C79="Cool",D79="Fast"),N78,IF(AND(C79="Warm",D79="Slow"),O78,P78)))</f>
        <v/>
      </c>
      <c r="I79" s="29">
        <f>IF(F79="Overheated",0,IF(AND(F79="Cool",G79="Slow"),M78,IF(AND(F79="Cool",G79="Fast"),N78,IF(AND(F79="Warm",G79="Slow"),O78,P78))))</f>
        <v/>
      </c>
      <c r="J79" s="29">
        <f>E79+0.9*I79</f>
        <v/>
      </c>
      <c r="K79" s="29">
        <f>J79-H79</f>
        <v/>
      </c>
      <c r="L79" s="29">
        <f>H79+0.1*K79</f>
        <v/>
      </c>
      <c r="M79" s="29">
        <f>IF(AND(C79="Cool",D79="Slow"),L79,M78)</f>
        <v/>
      </c>
      <c r="N79" s="29">
        <f>IF(AND(C79="Cool",D79="Fast"),L79,N78)</f>
        <v/>
      </c>
      <c r="O79" s="29">
        <f>IF(AND(C79="Warm",D79="Slow"),L79,O78)</f>
        <v/>
      </c>
      <c r="P79" s="29">
        <f>IF(AND(C79="Warm",D79="Fast"),L79,P78)</f>
        <v/>
      </c>
    </row>
    <row r="80">
      <c r="A80" s="20" t="n">
        <v>74</v>
      </c>
      <c r="B80" s="20" t="n">
        <v>4</v>
      </c>
      <c r="C80" s="20" t="inlineStr">
        <is>
          <t>Warm</t>
        </is>
      </c>
      <c r="D80" s="20" t="inlineStr">
        <is>
          <t>Fast</t>
        </is>
      </c>
      <c r="E80" s="20" t="n">
        <v>-10</v>
      </c>
      <c r="F80" s="20" t="inlineStr">
        <is>
          <t>Overheated</t>
        </is>
      </c>
      <c r="G80" s="20" t="inlineStr">
        <is>
          <t>—</t>
        </is>
      </c>
      <c r="H80" s="29">
        <f>IF(AND(C80="Cool",D80="Slow"),M79,IF(AND(C80="Cool",D80="Fast"),N79,IF(AND(C80="Warm",D80="Slow"),O79,P79)))</f>
        <v/>
      </c>
      <c r="I80" s="29">
        <f>IF(F80="Overheated",0,IF(AND(F80="Cool",G80="Slow"),M79,IF(AND(F80="Cool",G80="Fast"),N79,IF(AND(F80="Warm",G80="Slow"),O79,P79))))</f>
        <v/>
      </c>
      <c r="J80" s="29">
        <f>E80+0.9*I80</f>
        <v/>
      </c>
      <c r="K80" s="29">
        <f>J80-H80</f>
        <v/>
      </c>
      <c r="L80" s="29">
        <f>H80+0.1*K80</f>
        <v/>
      </c>
      <c r="M80" s="29">
        <f>IF(AND(C80="Cool",D80="Slow"),L80,M79)</f>
        <v/>
      </c>
      <c r="N80" s="29">
        <f>IF(AND(C80="Cool",D80="Fast"),L80,N79)</f>
        <v/>
      </c>
      <c r="O80" s="29">
        <f>IF(AND(C80="Warm",D80="Slow"),L80,O79)</f>
        <v/>
      </c>
      <c r="P80" s="29">
        <f>IF(AND(C80="Warm",D80="Fast"),L80,P79)</f>
        <v/>
      </c>
    </row>
    <row r="81">
      <c r="A81" s="9" t="n">
        <v>75</v>
      </c>
      <c r="B81" s="9" t="n">
        <v>5</v>
      </c>
      <c r="C81" s="9" t="inlineStr">
        <is>
          <t>Cool</t>
        </is>
      </c>
      <c r="D81" s="9" t="inlineStr">
        <is>
          <t>Fast</t>
        </is>
      </c>
      <c r="E81" s="9" t="n">
        <v>2</v>
      </c>
      <c r="F81" s="9" t="inlineStr">
        <is>
          <t>Warm</t>
        </is>
      </c>
      <c r="G81" s="9" t="inlineStr">
        <is>
          <t>Fast</t>
        </is>
      </c>
      <c r="H81" s="29">
        <f>IF(AND(C81="Cool",D81="Slow"),M80,IF(AND(C81="Cool",D81="Fast"),N80,IF(AND(C81="Warm",D81="Slow"),O80,P80)))</f>
        <v/>
      </c>
      <c r="I81" s="29">
        <f>IF(F81="Overheated",0,IF(AND(F81="Cool",G81="Slow"),M80,IF(AND(F81="Cool",G81="Fast"),N80,IF(AND(F81="Warm",G81="Slow"),O80,P80))))</f>
        <v/>
      </c>
      <c r="J81" s="29">
        <f>E81+0.9*I81</f>
        <v/>
      </c>
      <c r="K81" s="29">
        <f>J81-H81</f>
        <v/>
      </c>
      <c r="L81" s="29">
        <f>H81+0.1*K81</f>
        <v/>
      </c>
      <c r="M81" s="29">
        <f>IF(AND(C81="Cool",D81="Slow"),L81,M80)</f>
        <v/>
      </c>
      <c r="N81" s="29">
        <f>IF(AND(C81="Cool",D81="Fast"),L81,N80)</f>
        <v/>
      </c>
      <c r="O81" s="29">
        <f>IF(AND(C81="Warm",D81="Slow"),L81,O80)</f>
        <v/>
      </c>
      <c r="P81" s="29">
        <f>IF(AND(C81="Warm",D81="Fast"),L81,P80)</f>
        <v/>
      </c>
    </row>
    <row r="82">
      <c r="A82" s="20" t="n">
        <v>76</v>
      </c>
      <c r="B82" s="20" t="n">
        <v>5</v>
      </c>
      <c r="C82" s="20" t="inlineStr">
        <is>
          <t>Warm</t>
        </is>
      </c>
      <c r="D82" s="20" t="inlineStr">
        <is>
          <t>Fast</t>
        </is>
      </c>
      <c r="E82" s="20" t="n">
        <v>-10</v>
      </c>
      <c r="F82" s="20" t="inlineStr">
        <is>
          <t>Overheated</t>
        </is>
      </c>
      <c r="G82" s="20" t="inlineStr">
        <is>
          <t>—</t>
        </is>
      </c>
      <c r="H82" s="29">
        <f>IF(AND(C82="Cool",D82="Slow"),M81,IF(AND(C82="Cool",D82="Fast"),N81,IF(AND(C82="Warm",D82="Slow"),O81,P81)))</f>
        <v/>
      </c>
      <c r="I82" s="29">
        <f>IF(F82="Overheated",0,IF(AND(F82="Cool",G82="Slow"),M81,IF(AND(F82="Cool",G82="Fast"),N81,IF(AND(F82="Warm",G82="Slow"),O81,P81))))</f>
        <v/>
      </c>
      <c r="J82" s="29">
        <f>E82+0.9*I82</f>
        <v/>
      </c>
      <c r="K82" s="29">
        <f>J82-H82</f>
        <v/>
      </c>
      <c r="L82" s="29">
        <f>H82+0.1*K82</f>
        <v/>
      </c>
      <c r="M82" s="29">
        <f>IF(AND(C82="Cool",D82="Slow"),L82,M81)</f>
        <v/>
      </c>
      <c r="N82" s="29">
        <f>IF(AND(C82="Cool",D82="Fast"),L82,N81)</f>
        <v/>
      </c>
      <c r="O82" s="29">
        <f>IF(AND(C82="Warm",D82="Slow"),L82,O81)</f>
        <v/>
      </c>
      <c r="P82" s="29">
        <f>IF(AND(C82="Warm",D82="Fast"),L82,P81)</f>
        <v/>
      </c>
    </row>
    <row r="83"/>
    <row r="84">
      <c r="A84" s="2" t="inlineStr">
        <is>
          <t>Final Q^SARSA(s,a)</t>
        </is>
      </c>
    </row>
    <row r="85">
      <c r="A85" s="6" t="inlineStr">
        <is>
          <t>State\Action</t>
        </is>
      </c>
      <c r="B85" s="6" t="inlineStr">
        <is>
          <t>Slow ✱</t>
        </is>
      </c>
      <c r="C85" s="6" t="inlineStr">
        <is>
          <t>Fast ✱</t>
        </is>
      </c>
    </row>
    <row r="86">
      <c r="A86" s="9" t="inlineStr">
        <is>
          <t>Cool</t>
        </is>
      </c>
      <c r="B86" s="29">
        <f>M82</f>
        <v/>
      </c>
      <c r="C86" s="29">
        <f>N82</f>
        <v/>
      </c>
    </row>
    <row r="87">
      <c r="A87" s="9" t="inlineStr">
        <is>
          <t>Warm</t>
        </is>
      </c>
      <c r="B87" s="29">
        <f>O82</f>
        <v/>
      </c>
      <c r="C87" s="29">
        <f>P82</f>
        <v/>
      </c>
    </row>
    <row r="88">
      <c r="A88" s="20" t="inlineStr">
        <is>
          <t>Overheated</t>
        </is>
      </c>
      <c r="B88" s="20" t="n">
        <v>0</v>
      </c>
      <c r="C88" s="20" t="n">
        <v>0</v>
      </c>
    </row>
    <row r="89"/>
    <row r="90">
      <c r="A90" s="2" t="inlineStr">
        <is>
          <t>Greedy Policy from Q^SARSA</t>
        </is>
      </c>
    </row>
    <row r="91">
      <c r="A91" s="6" t="inlineStr">
        <is>
          <t>State</t>
        </is>
      </c>
      <c r="B91" s="6" t="inlineStr">
        <is>
          <t>π(s) ✱</t>
        </is>
      </c>
    </row>
    <row r="92">
      <c r="A92" s="9" t="inlineStr">
        <is>
          <t>Cool</t>
        </is>
      </c>
      <c r="B92" s="29">
        <f>IF(C86&gt;=B86,"Fast","Slow")</f>
        <v/>
      </c>
    </row>
    <row r="93">
      <c r="A93" s="9" t="inlineStr">
        <is>
          <t>Warm</t>
        </is>
      </c>
      <c r="B93" s="29">
        <f>IF(C87&gt;=B87,"Fast","Slow")</f>
        <v/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5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58" customWidth="1" min="7" max="7"/>
    <col width="58" customWidth="1" min="8" max="8"/>
    <col width="15" customWidth="1" min="9" max="9"/>
    <col width="14" customWidth="1" min="10" max="10"/>
    <col width="15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Q-Learning — Off-Policy Q*(s,a) Updates</t>
        </is>
      </c>
    </row>
    <row r="2">
      <c r="A2" s="4" t="inlineStr">
        <is>
          <t>NOTE: Each row = one time step t (a single transition s,a→r,s').  Q-Learning uses max_{a'} Q(s',a') — the BEST possible action, not the one actually taken (off-policy).</t>
        </is>
      </c>
    </row>
    <row r="3">
      <c r="A3" s="4" t="inlineStr">
        <is>
          <t>Q(s,a) ← Q(s,a) + α·[r + γ·max_{a'} Q(s',a') − Q(s,a)].  α=0.1, γ=0.9.  L-O track Q-table.</t>
        </is>
      </c>
    </row>
    <row r="4"/>
    <row r="5">
      <c r="A5" s="6" t="inlineStr">
        <is>
          <t>Step</t>
        </is>
      </c>
      <c r="B5" s="6" t="inlineStr">
        <is>
          <t>Ep</t>
        </is>
      </c>
      <c r="C5" s="6" t="inlineStr">
        <is>
          <t>s</t>
        </is>
      </c>
      <c r="D5" s="6" t="inlineStr">
        <is>
          <t>a</t>
        </is>
      </c>
      <c r="E5" s="6" t="inlineStr">
        <is>
          <t>r</t>
        </is>
      </c>
      <c r="F5" s="6" t="inlineStr">
        <is>
          <t>s'</t>
        </is>
      </c>
      <c r="G5" s="6" t="inlineStr">
        <is>
          <t>Q(s,a) bef ✱</t>
        </is>
      </c>
      <c r="H5" s="6" t="inlineStr">
        <is>
          <t>max Q(s',·) ✱</t>
        </is>
      </c>
      <c r="I5" s="6" t="inlineStr">
        <is>
          <t>Target ✱</t>
        </is>
      </c>
      <c r="J5" s="6" t="inlineStr">
        <is>
          <t>Error ✱</t>
        </is>
      </c>
      <c r="K5" s="6" t="inlineStr">
        <is>
          <t>Q aft ✱</t>
        </is>
      </c>
      <c r="L5" s="6" t="inlineStr">
        <is>
          <t>Q(C,S) ✱</t>
        </is>
      </c>
      <c r="M5" s="6" t="inlineStr">
        <is>
          <t>Q(C,F) ✱</t>
        </is>
      </c>
      <c r="N5" s="6" t="inlineStr">
        <is>
          <t>Q(W,S) ✱</t>
        </is>
      </c>
      <c r="O5" s="6" t="inlineStr">
        <is>
          <t>Q(W,F) ✱</t>
        </is>
      </c>
    </row>
    <row r="6">
      <c r="A6" s="9" t="inlineStr">
        <is>
          <t>init</t>
        </is>
      </c>
      <c r="B6" s="9" t="inlineStr">
        <is>
          <t>init</t>
        </is>
      </c>
      <c r="C6" s="9" t="inlineStr">
        <is>
          <t>init</t>
        </is>
      </c>
      <c r="D6" s="9" t="inlineStr">
        <is>
          <t>init</t>
        </is>
      </c>
      <c r="E6" s="9" t="inlineStr">
        <is>
          <t>init</t>
        </is>
      </c>
      <c r="F6" s="9" t="inlineStr">
        <is>
          <t>init</t>
        </is>
      </c>
      <c r="G6" s="9" t="inlineStr"/>
      <c r="H6" s="9" t="inlineStr"/>
      <c r="I6" s="9" t="inlineStr"/>
      <c r="J6" s="9" t="inlineStr"/>
      <c r="K6" s="9" t="inlineStr"/>
      <c r="L6" s="48" t="n">
        <v>0</v>
      </c>
      <c r="M6" s="48" t="n">
        <v>0</v>
      </c>
      <c r="N6" s="48" t="n">
        <v>0</v>
      </c>
      <c r="O6" s="48" t="n">
        <v>0</v>
      </c>
    </row>
    <row r="7">
      <c r="A7" s="9" t="n">
        <v>1</v>
      </c>
      <c r="B7" s="9" t="n">
        <v>1</v>
      </c>
      <c r="C7" s="9" t="inlineStr">
        <is>
          <t>Cool</t>
        </is>
      </c>
      <c r="D7" s="9" t="inlineStr">
        <is>
          <t>Fast</t>
        </is>
      </c>
      <c r="E7" s="9" t="n">
        <v>2</v>
      </c>
      <c r="F7" s="9" t="inlineStr">
        <is>
          <t>Cool</t>
        </is>
      </c>
      <c r="G7" s="29">
        <f>IF(AND(C7="Cool",D7="Slow"),L6,IF(AND(C7="Cool",D7="Fast"),M6,IF(AND(C7="Warm",D7="Slow"),N6,O6)))</f>
        <v/>
      </c>
      <c r="H7" s="29">
        <f>IF(F7="Overheated",0,IF(F7="Cool",MAX(L6,M6),MAX(N6,O6)))</f>
        <v/>
      </c>
      <c r="I7" s="29">
        <f>E7+0.9*H7</f>
        <v/>
      </c>
      <c r="J7" s="29">
        <f>I7-G7</f>
        <v/>
      </c>
      <c r="K7" s="29">
        <f>G7+0.1*J7</f>
        <v/>
      </c>
      <c r="L7" s="29">
        <f>IF(AND(C7="Cool",D7="Slow"),K7,L6)</f>
        <v/>
      </c>
      <c r="M7" s="29">
        <f>IF(AND(C7="Cool",D7="Fast"),K7,M6)</f>
        <v/>
      </c>
      <c r="N7" s="29">
        <f>IF(AND(C7="Warm",D7="Slow"),K7,N6)</f>
        <v/>
      </c>
      <c r="O7" s="29">
        <f>IF(AND(C7="Warm",D7="Fast"),K7,O6)</f>
        <v/>
      </c>
    </row>
    <row r="8">
      <c r="A8" s="9" t="n">
        <v>2</v>
      </c>
      <c r="B8" s="9" t="n">
        <v>1</v>
      </c>
      <c r="C8" s="9" t="inlineStr">
        <is>
          <t>Cool</t>
        </is>
      </c>
      <c r="D8" s="9" t="inlineStr">
        <is>
          <t>Fast</t>
        </is>
      </c>
      <c r="E8" s="9" t="n">
        <v>2</v>
      </c>
      <c r="F8" s="9" t="inlineStr">
        <is>
          <t>Cool</t>
        </is>
      </c>
      <c r="G8" s="29">
        <f>IF(AND(C8="Cool",D8="Slow"),L7,IF(AND(C8="Cool",D8="Fast"),M7,IF(AND(C8="Warm",D8="Slow"),N7,O7)))</f>
        <v/>
      </c>
      <c r="H8" s="29">
        <f>IF(F8="Overheated",0,IF(F8="Cool",MAX(L7,M7),MAX(N7,O7)))</f>
        <v/>
      </c>
      <c r="I8" s="29">
        <f>E8+0.9*H8</f>
        <v/>
      </c>
      <c r="J8" s="29">
        <f>I8-G8</f>
        <v/>
      </c>
      <c r="K8" s="29">
        <f>G8+0.1*J8</f>
        <v/>
      </c>
      <c r="L8" s="29">
        <f>IF(AND(C8="Cool",D8="Slow"),K8,L7)</f>
        <v/>
      </c>
      <c r="M8" s="29">
        <f>IF(AND(C8="Cool",D8="Fast"),K8,M7)</f>
        <v/>
      </c>
      <c r="N8" s="29">
        <f>IF(AND(C8="Warm",D8="Slow"),K8,N7)</f>
        <v/>
      </c>
      <c r="O8" s="29">
        <f>IF(AND(C8="Warm",D8="Fast"),K8,O7)</f>
        <v/>
      </c>
    </row>
    <row r="9">
      <c r="A9" s="9" t="n">
        <v>3</v>
      </c>
      <c r="B9" s="9" t="n">
        <v>1</v>
      </c>
      <c r="C9" s="9" t="inlineStr">
        <is>
          <t>Cool</t>
        </is>
      </c>
      <c r="D9" s="9" t="inlineStr">
        <is>
          <t>Fast</t>
        </is>
      </c>
      <c r="E9" s="9" t="n">
        <v>2</v>
      </c>
      <c r="F9" s="9" t="inlineStr">
        <is>
          <t>Cool</t>
        </is>
      </c>
      <c r="G9" s="29">
        <f>IF(AND(C9="Cool",D9="Slow"),L8,IF(AND(C9="Cool",D9="Fast"),M8,IF(AND(C9="Warm",D9="Slow"),N8,O8)))</f>
        <v/>
      </c>
      <c r="H9" s="29">
        <f>IF(F9="Overheated",0,IF(F9="Cool",MAX(L8,M8),MAX(N8,O8)))</f>
        <v/>
      </c>
      <c r="I9" s="29">
        <f>E9+0.9*H9</f>
        <v/>
      </c>
      <c r="J9" s="29">
        <f>I9-G9</f>
        <v/>
      </c>
      <c r="K9" s="29">
        <f>G9+0.1*J9</f>
        <v/>
      </c>
      <c r="L9" s="29">
        <f>IF(AND(C9="Cool",D9="Slow"),K9,L8)</f>
        <v/>
      </c>
      <c r="M9" s="29">
        <f>IF(AND(C9="Cool",D9="Fast"),K9,M8)</f>
        <v/>
      </c>
      <c r="N9" s="29">
        <f>IF(AND(C9="Warm",D9="Slow"),K9,N8)</f>
        <v/>
      </c>
      <c r="O9" s="29">
        <f>IF(AND(C9="Warm",D9="Fast"),K9,O8)</f>
        <v/>
      </c>
    </row>
    <row r="10">
      <c r="A10" s="9" t="n">
        <v>4</v>
      </c>
      <c r="B10" s="9" t="n">
        <v>1</v>
      </c>
      <c r="C10" s="9" t="inlineStr">
        <is>
          <t>Cool</t>
        </is>
      </c>
      <c r="D10" s="9" t="inlineStr">
        <is>
          <t>Fast</t>
        </is>
      </c>
      <c r="E10" s="9" t="n">
        <v>2</v>
      </c>
      <c r="F10" s="9" t="inlineStr">
        <is>
          <t>Cool</t>
        </is>
      </c>
      <c r="G10" s="29">
        <f>IF(AND(C10="Cool",D10="Slow"),L9,IF(AND(C10="Cool",D10="Fast"),M9,IF(AND(C10="Warm",D10="Slow"),N9,O9)))</f>
        <v/>
      </c>
      <c r="H10" s="29">
        <f>IF(F10="Overheated",0,IF(F10="Cool",MAX(L9,M9),MAX(N9,O9)))</f>
        <v/>
      </c>
      <c r="I10" s="29">
        <f>E10+0.9*H10</f>
        <v/>
      </c>
      <c r="J10" s="29">
        <f>I10-G10</f>
        <v/>
      </c>
      <c r="K10" s="29">
        <f>G10+0.1*J10</f>
        <v/>
      </c>
      <c r="L10" s="29">
        <f>IF(AND(C10="Cool",D10="Slow"),K10,L9)</f>
        <v/>
      </c>
      <c r="M10" s="29">
        <f>IF(AND(C10="Cool",D10="Fast"),K10,M9)</f>
        <v/>
      </c>
      <c r="N10" s="29">
        <f>IF(AND(C10="Warm",D10="Slow"),K10,N9)</f>
        <v/>
      </c>
      <c r="O10" s="29">
        <f>IF(AND(C10="Warm",D10="Fast"),K10,O9)</f>
        <v/>
      </c>
    </row>
    <row r="11">
      <c r="A11" s="9" t="n">
        <v>5</v>
      </c>
      <c r="B11" s="9" t="n">
        <v>1</v>
      </c>
      <c r="C11" s="9" t="inlineStr">
        <is>
          <t>Cool</t>
        </is>
      </c>
      <c r="D11" s="9" t="inlineStr">
        <is>
          <t>Fast</t>
        </is>
      </c>
      <c r="E11" s="9" t="n">
        <v>2</v>
      </c>
      <c r="F11" s="9" t="inlineStr">
        <is>
          <t>Cool</t>
        </is>
      </c>
      <c r="G11" s="29">
        <f>IF(AND(C11="Cool",D11="Slow"),L10,IF(AND(C11="Cool",D11="Fast"),M10,IF(AND(C11="Warm",D11="Slow"),N10,O10)))</f>
        <v/>
      </c>
      <c r="H11" s="29">
        <f>IF(F11="Overheated",0,IF(F11="Cool",MAX(L10,M10),MAX(N10,O10)))</f>
        <v/>
      </c>
      <c r="I11" s="29">
        <f>E11+0.9*H11</f>
        <v/>
      </c>
      <c r="J11" s="29">
        <f>I11-G11</f>
        <v/>
      </c>
      <c r="K11" s="29">
        <f>G11+0.1*J11</f>
        <v/>
      </c>
      <c r="L11" s="29">
        <f>IF(AND(C11="Cool",D11="Slow"),K11,L10)</f>
        <v/>
      </c>
      <c r="M11" s="29">
        <f>IF(AND(C11="Cool",D11="Fast"),K11,M10)</f>
        <v/>
      </c>
      <c r="N11" s="29">
        <f>IF(AND(C11="Warm",D11="Slow"),K11,N10)</f>
        <v/>
      </c>
      <c r="O11" s="29">
        <f>IF(AND(C11="Warm",D11="Fast"),K11,O10)</f>
        <v/>
      </c>
    </row>
    <row r="12">
      <c r="A12" s="9" t="n">
        <v>6</v>
      </c>
      <c r="B12" s="9" t="n">
        <v>1</v>
      </c>
      <c r="C12" s="9" t="inlineStr">
        <is>
          <t>Cool</t>
        </is>
      </c>
      <c r="D12" s="9" t="inlineStr">
        <is>
          <t>Fast</t>
        </is>
      </c>
      <c r="E12" s="9" t="n">
        <v>2</v>
      </c>
      <c r="F12" s="9" t="inlineStr">
        <is>
          <t>Cool</t>
        </is>
      </c>
      <c r="G12" s="29">
        <f>IF(AND(C12="Cool",D12="Slow"),L11,IF(AND(C12="Cool",D12="Fast"),M11,IF(AND(C12="Warm",D12="Slow"),N11,O11)))</f>
        <v/>
      </c>
      <c r="H12" s="29">
        <f>IF(F12="Overheated",0,IF(F12="Cool",MAX(L11,M11),MAX(N11,O11)))</f>
        <v/>
      </c>
      <c r="I12" s="29">
        <f>E12+0.9*H12</f>
        <v/>
      </c>
      <c r="J12" s="29">
        <f>I12-G12</f>
        <v/>
      </c>
      <c r="K12" s="29">
        <f>G12+0.1*J12</f>
        <v/>
      </c>
      <c r="L12" s="29">
        <f>IF(AND(C12="Cool",D12="Slow"),K12,L11)</f>
        <v/>
      </c>
      <c r="M12" s="29">
        <f>IF(AND(C12="Cool",D12="Fast"),K12,M11)</f>
        <v/>
      </c>
      <c r="N12" s="29">
        <f>IF(AND(C12="Warm",D12="Slow"),K12,N11)</f>
        <v/>
      </c>
      <c r="O12" s="29">
        <f>IF(AND(C12="Warm",D12="Fast"),K12,O11)</f>
        <v/>
      </c>
    </row>
    <row r="13">
      <c r="A13" s="9" t="n">
        <v>7</v>
      </c>
      <c r="B13" s="9" t="n">
        <v>1</v>
      </c>
      <c r="C13" s="9" t="inlineStr">
        <is>
          <t>Cool</t>
        </is>
      </c>
      <c r="D13" s="9" t="inlineStr">
        <is>
          <t>Fast</t>
        </is>
      </c>
      <c r="E13" s="9" t="n">
        <v>2</v>
      </c>
      <c r="F13" s="9" t="inlineStr">
        <is>
          <t>Cool</t>
        </is>
      </c>
      <c r="G13" s="29">
        <f>IF(AND(C13="Cool",D13="Slow"),L12,IF(AND(C13="Cool",D13="Fast"),M12,IF(AND(C13="Warm",D13="Slow"),N12,O12)))</f>
        <v/>
      </c>
      <c r="H13" s="29">
        <f>IF(F13="Overheated",0,IF(F13="Cool",MAX(L12,M12),MAX(N12,O12)))</f>
        <v/>
      </c>
      <c r="I13" s="29">
        <f>E13+0.9*H13</f>
        <v/>
      </c>
      <c r="J13" s="29">
        <f>I13-G13</f>
        <v/>
      </c>
      <c r="K13" s="29">
        <f>G13+0.1*J13</f>
        <v/>
      </c>
      <c r="L13" s="29">
        <f>IF(AND(C13="Cool",D13="Slow"),K13,L12)</f>
        <v/>
      </c>
      <c r="M13" s="29">
        <f>IF(AND(C13="Cool",D13="Fast"),K13,M12)</f>
        <v/>
      </c>
      <c r="N13" s="29">
        <f>IF(AND(C13="Warm",D13="Slow"),K13,N12)</f>
        <v/>
      </c>
      <c r="O13" s="29">
        <f>IF(AND(C13="Warm",D13="Fast"),K13,O12)</f>
        <v/>
      </c>
    </row>
    <row r="14">
      <c r="A14" s="9" t="n">
        <v>8</v>
      </c>
      <c r="B14" s="9" t="n">
        <v>1</v>
      </c>
      <c r="C14" s="9" t="inlineStr">
        <is>
          <t>Cool</t>
        </is>
      </c>
      <c r="D14" s="9" t="inlineStr">
        <is>
          <t>Fast</t>
        </is>
      </c>
      <c r="E14" s="9" t="n">
        <v>2</v>
      </c>
      <c r="F14" s="9" t="inlineStr">
        <is>
          <t>Warm</t>
        </is>
      </c>
      <c r="G14" s="29">
        <f>IF(AND(C14="Cool",D14="Slow"),L13,IF(AND(C14="Cool",D14="Fast"),M13,IF(AND(C14="Warm",D14="Slow"),N13,O13)))</f>
        <v/>
      </c>
      <c r="H14" s="29">
        <f>IF(F14="Overheated",0,IF(F14="Cool",MAX(L13,M13),MAX(N13,O13)))</f>
        <v/>
      </c>
      <c r="I14" s="29">
        <f>E14+0.9*H14</f>
        <v/>
      </c>
      <c r="J14" s="29">
        <f>I14-G14</f>
        <v/>
      </c>
      <c r="K14" s="29">
        <f>G14+0.1*J14</f>
        <v/>
      </c>
      <c r="L14" s="29">
        <f>IF(AND(C14="Cool",D14="Slow"),K14,L13)</f>
        <v/>
      </c>
      <c r="M14" s="29">
        <f>IF(AND(C14="Cool",D14="Fast"),K14,M13)</f>
        <v/>
      </c>
      <c r="N14" s="29">
        <f>IF(AND(C14="Warm",D14="Slow"),K14,N13)</f>
        <v/>
      </c>
      <c r="O14" s="29">
        <f>IF(AND(C14="Warm",D14="Fast"),K14,O13)</f>
        <v/>
      </c>
    </row>
    <row r="15">
      <c r="A15" s="9" t="n">
        <v>9</v>
      </c>
      <c r="B15" s="9" t="n">
        <v>1</v>
      </c>
      <c r="C15" s="9" t="inlineStr">
        <is>
          <t>Warm</t>
        </is>
      </c>
      <c r="D15" s="9" t="inlineStr">
        <is>
          <t>Slow</t>
        </is>
      </c>
      <c r="E15" s="9" t="n">
        <v>1</v>
      </c>
      <c r="F15" s="9" t="inlineStr">
        <is>
          <t>Warm</t>
        </is>
      </c>
      <c r="G15" s="29">
        <f>IF(AND(C15="Cool",D15="Slow"),L14,IF(AND(C15="Cool",D15="Fast"),M14,IF(AND(C15="Warm",D15="Slow"),N14,O14)))</f>
        <v/>
      </c>
      <c r="H15" s="29">
        <f>IF(F15="Overheated",0,IF(F15="Cool",MAX(L14,M14),MAX(N14,O14)))</f>
        <v/>
      </c>
      <c r="I15" s="29">
        <f>E15+0.9*H15</f>
        <v/>
      </c>
      <c r="J15" s="29">
        <f>I15-G15</f>
        <v/>
      </c>
      <c r="K15" s="29">
        <f>G15+0.1*J15</f>
        <v/>
      </c>
      <c r="L15" s="29">
        <f>IF(AND(C15="Cool",D15="Slow"),K15,L14)</f>
        <v/>
      </c>
      <c r="M15" s="29">
        <f>IF(AND(C15="Cool",D15="Fast"),K15,M14)</f>
        <v/>
      </c>
      <c r="N15" s="29">
        <f>IF(AND(C15="Warm",D15="Slow"),K15,N14)</f>
        <v/>
      </c>
      <c r="O15" s="29">
        <f>IF(AND(C15="Warm",D15="Fast"),K15,O14)</f>
        <v/>
      </c>
    </row>
    <row r="16">
      <c r="A16" s="9" t="n">
        <v>10</v>
      </c>
      <c r="B16" s="9" t="n">
        <v>1</v>
      </c>
      <c r="C16" s="9" t="inlineStr">
        <is>
          <t>Warm</t>
        </is>
      </c>
      <c r="D16" s="9" t="inlineStr">
        <is>
          <t>Slow</t>
        </is>
      </c>
      <c r="E16" s="9" t="n">
        <v>1</v>
      </c>
      <c r="F16" s="9" t="inlineStr">
        <is>
          <t>Cool</t>
        </is>
      </c>
      <c r="G16" s="29">
        <f>IF(AND(C16="Cool",D16="Slow"),L15,IF(AND(C16="Cool",D16="Fast"),M15,IF(AND(C16="Warm",D16="Slow"),N15,O15)))</f>
        <v/>
      </c>
      <c r="H16" s="29">
        <f>IF(F16="Overheated",0,IF(F16="Cool",MAX(L15,M15),MAX(N15,O15)))</f>
        <v/>
      </c>
      <c r="I16" s="29">
        <f>E16+0.9*H16</f>
        <v/>
      </c>
      <c r="J16" s="29">
        <f>I16-G16</f>
        <v/>
      </c>
      <c r="K16" s="29">
        <f>G16+0.1*J16</f>
        <v/>
      </c>
      <c r="L16" s="29">
        <f>IF(AND(C16="Cool",D16="Slow"),K16,L15)</f>
        <v/>
      </c>
      <c r="M16" s="29">
        <f>IF(AND(C16="Cool",D16="Fast"),K16,M15)</f>
        <v/>
      </c>
      <c r="N16" s="29">
        <f>IF(AND(C16="Warm",D16="Slow"),K16,N15)</f>
        <v/>
      </c>
      <c r="O16" s="29">
        <f>IF(AND(C16="Warm",D16="Fast"),K16,O15)</f>
        <v/>
      </c>
    </row>
    <row r="17">
      <c r="A17" s="9" t="n">
        <v>11</v>
      </c>
      <c r="B17" s="9" t="n">
        <v>1</v>
      </c>
      <c r="C17" s="9" t="inlineStr">
        <is>
          <t>Cool</t>
        </is>
      </c>
      <c r="D17" s="9" t="inlineStr">
        <is>
          <t>Fast</t>
        </is>
      </c>
      <c r="E17" s="9" t="n">
        <v>2</v>
      </c>
      <c r="F17" s="9" t="inlineStr">
        <is>
          <t>Cool</t>
        </is>
      </c>
      <c r="G17" s="29">
        <f>IF(AND(C17="Cool",D17="Slow"),L16,IF(AND(C17="Cool",D17="Fast"),M16,IF(AND(C17="Warm",D17="Slow"),N16,O16)))</f>
        <v/>
      </c>
      <c r="H17" s="29">
        <f>IF(F17="Overheated",0,IF(F17="Cool",MAX(L16,M16),MAX(N16,O16)))</f>
        <v/>
      </c>
      <c r="I17" s="29">
        <f>E17+0.9*H17</f>
        <v/>
      </c>
      <c r="J17" s="29">
        <f>I17-G17</f>
        <v/>
      </c>
      <c r="K17" s="29">
        <f>G17+0.1*J17</f>
        <v/>
      </c>
      <c r="L17" s="29">
        <f>IF(AND(C17="Cool",D17="Slow"),K17,L16)</f>
        <v/>
      </c>
      <c r="M17" s="29">
        <f>IF(AND(C17="Cool",D17="Fast"),K17,M16)</f>
        <v/>
      </c>
      <c r="N17" s="29">
        <f>IF(AND(C17="Warm",D17="Slow"),K17,N16)</f>
        <v/>
      </c>
      <c r="O17" s="29">
        <f>IF(AND(C17="Warm",D17="Fast"),K17,O16)</f>
        <v/>
      </c>
    </row>
    <row r="18">
      <c r="A18" s="9" t="n">
        <v>12</v>
      </c>
      <c r="B18" s="9" t="n">
        <v>1</v>
      </c>
      <c r="C18" s="9" t="inlineStr">
        <is>
          <t>Cool</t>
        </is>
      </c>
      <c r="D18" s="9" t="inlineStr">
        <is>
          <t>Fast</t>
        </is>
      </c>
      <c r="E18" s="9" t="n">
        <v>2</v>
      </c>
      <c r="F18" s="9" t="inlineStr">
        <is>
          <t>Warm</t>
        </is>
      </c>
      <c r="G18" s="29">
        <f>IF(AND(C18="Cool",D18="Slow"),L17,IF(AND(C18="Cool",D18="Fast"),M17,IF(AND(C18="Warm",D18="Slow"),N17,O17)))</f>
        <v/>
      </c>
      <c r="H18" s="29">
        <f>IF(F18="Overheated",0,IF(F18="Cool",MAX(L17,M17),MAX(N17,O17)))</f>
        <v/>
      </c>
      <c r="I18" s="29">
        <f>E18+0.9*H18</f>
        <v/>
      </c>
      <c r="J18" s="29">
        <f>I18-G18</f>
        <v/>
      </c>
      <c r="K18" s="29">
        <f>G18+0.1*J18</f>
        <v/>
      </c>
      <c r="L18" s="29">
        <f>IF(AND(C18="Cool",D18="Slow"),K18,L17)</f>
        <v/>
      </c>
      <c r="M18" s="29">
        <f>IF(AND(C18="Cool",D18="Fast"),K18,M17)</f>
        <v/>
      </c>
      <c r="N18" s="29">
        <f>IF(AND(C18="Warm",D18="Slow"),K18,N17)</f>
        <v/>
      </c>
      <c r="O18" s="29">
        <f>IF(AND(C18="Warm",D18="Fast"),K18,O17)</f>
        <v/>
      </c>
    </row>
    <row r="19">
      <c r="A19" s="9" t="n">
        <v>13</v>
      </c>
      <c r="B19" s="9" t="n">
        <v>1</v>
      </c>
      <c r="C19" s="9" t="inlineStr">
        <is>
          <t>Warm</t>
        </is>
      </c>
      <c r="D19" s="9" t="inlineStr">
        <is>
          <t>Slow</t>
        </is>
      </c>
      <c r="E19" s="9" t="n">
        <v>1</v>
      </c>
      <c r="F19" s="9" t="inlineStr">
        <is>
          <t>Cool</t>
        </is>
      </c>
      <c r="G19" s="29">
        <f>IF(AND(C19="Cool",D19="Slow"),L18,IF(AND(C19="Cool",D19="Fast"),M18,IF(AND(C19="Warm",D19="Slow"),N18,O18)))</f>
        <v/>
      </c>
      <c r="H19" s="29">
        <f>IF(F19="Overheated",0,IF(F19="Cool",MAX(L18,M18),MAX(N18,O18)))</f>
        <v/>
      </c>
      <c r="I19" s="29">
        <f>E19+0.9*H19</f>
        <v/>
      </c>
      <c r="J19" s="29">
        <f>I19-G19</f>
        <v/>
      </c>
      <c r="K19" s="29">
        <f>G19+0.1*J19</f>
        <v/>
      </c>
      <c r="L19" s="29">
        <f>IF(AND(C19="Cool",D19="Slow"),K19,L18)</f>
        <v/>
      </c>
      <c r="M19" s="29">
        <f>IF(AND(C19="Cool",D19="Fast"),K19,M18)</f>
        <v/>
      </c>
      <c r="N19" s="29">
        <f>IF(AND(C19="Warm",D19="Slow"),K19,N18)</f>
        <v/>
      </c>
      <c r="O19" s="29">
        <f>IF(AND(C19="Warm",D19="Fast"),K19,O18)</f>
        <v/>
      </c>
    </row>
    <row r="20">
      <c r="A20" s="9" t="n">
        <v>14</v>
      </c>
      <c r="B20" s="9" t="n">
        <v>1</v>
      </c>
      <c r="C20" s="9" t="inlineStr">
        <is>
          <t>Cool</t>
        </is>
      </c>
      <c r="D20" s="9" t="inlineStr">
        <is>
          <t>Slow</t>
        </is>
      </c>
      <c r="E20" s="9" t="n">
        <v>1</v>
      </c>
      <c r="F20" s="9" t="inlineStr">
        <is>
          <t>Warm</t>
        </is>
      </c>
      <c r="G20" s="29">
        <f>IF(AND(C20="Cool",D20="Slow"),L19,IF(AND(C20="Cool",D20="Fast"),M19,IF(AND(C20="Warm",D20="Slow"),N19,O19)))</f>
        <v/>
      </c>
      <c r="H20" s="29">
        <f>IF(F20="Overheated",0,IF(F20="Cool",MAX(L19,M19),MAX(N19,O19)))</f>
        <v/>
      </c>
      <c r="I20" s="29">
        <f>E20+0.9*H20</f>
        <v/>
      </c>
      <c r="J20" s="29">
        <f>I20-G20</f>
        <v/>
      </c>
      <c r="K20" s="29">
        <f>G20+0.1*J20</f>
        <v/>
      </c>
      <c r="L20" s="29">
        <f>IF(AND(C20="Cool",D20="Slow"),K20,L19)</f>
        <v/>
      </c>
      <c r="M20" s="29">
        <f>IF(AND(C20="Cool",D20="Fast"),K20,M19)</f>
        <v/>
      </c>
      <c r="N20" s="29">
        <f>IF(AND(C20="Warm",D20="Slow"),K20,N19)</f>
        <v/>
      </c>
      <c r="O20" s="29">
        <f>IF(AND(C20="Warm",D20="Fast"),K20,O19)</f>
        <v/>
      </c>
    </row>
    <row r="21">
      <c r="A21" s="9" t="n">
        <v>15</v>
      </c>
      <c r="B21" s="9" t="n">
        <v>1</v>
      </c>
      <c r="C21" s="9" t="inlineStr">
        <is>
          <t>Warm</t>
        </is>
      </c>
      <c r="D21" s="9" t="inlineStr">
        <is>
          <t>Slow</t>
        </is>
      </c>
      <c r="E21" s="9" t="n">
        <v>1</v>
      </c>
      <c r="F21" s="9" t="inlineStr">
        <is>
          <t>Warm</t>
        </is>
      </c>
      <c r="G21" s="29">
        <f>IF(AND(C21="Cool",D21="Slow"),L20,IF(AND(C21="Cool",D21="Fast"),M20,IF(AND(C21="Warm",D21="Slow"),N20,O20)))</f>
        <v/>
      </c>
      <c r="H21" s="29">
        <f>IF(F21="Overheated",0,IF(F21="Cool",MAX(L20,M20),MAX(N20,O20)))</f>
        <v/>
      </c>
      <c r="I21" s="29">
        <f>E21+0.9*H21</f>
        <v/>
      </c>
      <c r="J21" s="29">
        <f>I21-G21</f>
        <v/>
      </c>
      <c r="K21" s="29">
        <f>G21+0.1*J21</f>
        <v/>
      </c>
      <c r="L21" s="29">
        <f>IF(AND(C21="Cool",D21="Slow"),K21,L20)</f>
        <v/>
      </c>
      <c r="M21" s="29">
        <f>IF(AND(C21="Cool",D21="Fast"),K21,M20)</f>
        <v/>
      </c>
      <c r="N21" s="29">
        <f>IF(AND(C21="Warm",D21="Slow"),K21,N20)</f>
        <v/>
      </c>
      <c r="O21" s="29">
        <f>IF(AND(C21="Warm",D21="Fast"),K21,O20)</f>
        <v/>
      </c>
    </row>
    <row r="22">
      <c r="A22" s="9" t="n">
        <v>16</v>
      </c>
      <c r="B22" s="9" t="n">
        <v>1</v>
      </c>
      <c r="C22" s="9" t="inlineStr">
        <is>
          <t>Warm</t>
        </is>
      </c>
      <c r="D22" s="9" t="inlineStr">
        <is>
          <t>Slow</t>
        </is>
      </c>
      <c r="E22" s="9" t="n">
        <v>1</v>
      </c>
      <c r="F22" s="9" t="inlineStr">
        <is>
          <t>Warm</t>
        </is>
      </c>
      <c r="G22" s="29">
        <f>IF(AND(C22="Cool",D22="Slow"),L21,IF(AND(C22="Cool",D22="Fast"),M21,IF(AND(C22="Warm",D22="Slow"),N21,O21)))</f>
        <v/>
      </c>
      <c r="H22" s="29">
        <f>IF(F22="Overheated",0,IF(F22="Cool",MAX(L21,M21),MAX(N21,O21)))</f>
        <v/>
      </c>
      <c r="I22" s="29">
        <f>E22+0.9*H22</f>
        <v/>
      </c>
      <c r="J22" s="29">
        <f>I22-G22</f>
        <v/>
      </c>
      <c r="K22" s="29">
        <f>G22+0.1*J22</f>
        <v/>
      </c>
      <c r="L22" s="29">
        <f>IF(AND(C22="Cool",D22="Slow"),K22,L21)</f>
        <v/>
      </c>
      <c r="M22" s="29">
        <f>IF(AND(C22="Cool",D22="Fast"),K22,M21)</f>
        <v/>
      </c>
      <c r="N22" s="29">
        <f>IF(AND(C22="Warm",D22="Slow"),K22,N21)</f>
        <v/>
      </c>
      <c r="O22" s="29">
        <f>IF(AND(C22="Warm",D22="Fast"),K22,O21)</f>
        <v/>
      </c>
    </row>
    <row r="23">
      <c r="A23" s="9" t="n">
        <v>17</v>
      </c>
      <c r="B23" s="9" t="n">
        <v>1</v>
      </c>
      <c r="C23" s="9" t="inlineStr">
        <is>
          <t>Warm</t>
        </is>
      </c>
      <c r="D23" s="9" t="inlineStr">
        <is>
          <t>Slow</t>
        </is>
      </c>
      <c r="E23" s="9" t="n">
        <v>1</v>
      </c>
      <c r="F23" s="9" t="inlineStr">
        <is>
          <t>Cool</t>
        </is>
      </c>
      <c r="G23" s="29">
        <f>IF(AND(C23="Cool",D23="Slow"),L22,IF(AND(C23="Cool",D23="Fast"),M22,IF(AND(C23="Warm",D23="Slow"),N22,O22)))</f>
        <v/>
      </c>
      <c r="H23" s="29">
        <f>IF(F23="Overheated",0,IF(F23="Cool",MAX(L22,M22),MAX(N22,O22)))</f>
        <v/>
      </c>
      <c r="I23" s="29">
        <f>E23+0.9*H23</f>
        <v/>
      </c>
      <c r="J23" s="29">
        <f>I23-G23</f>
        <v/>
      </c>
      <c r="K23" s="29">
        <f>G23+0.1*J23</f>
        <v/>
      </c>
      <c r="L23" s="29">
        <f>IF(AND(C23="Cool",D23="Slow"),K23,L22)</f>
        <v/>
      </c>
      <c r="M23" s="29">
        <f>IF(AND(C23="Cool",D23="Fast"),K23,M22)</f>
        <v/>
      </c>
      <c r="N23" s="29">
        <f>IF(AND(C23="Warm",D23="Slow"),K23,N22)</f>
        <v/>
      </c>
      <c r="O23" s="29">
        <f>IF(AND(C23="Warm",D23="Fast"),K23,O22)</f>
        <v/>
      </c>
    </row>
    <row r="24">
      <c r="A24" s="9" t="n">
        <v>18</v>
      </c>
      <c r="B24" s="9" t="n">
        <v>1</v>
      </c>
      <c r="C24" s="9" t="inlineStr">
        <is>
          <t>Cool</t>
        </is>
      </c>
      <c r="D24" s="9" t="inlineStr">
        <is>
          <t>Fast</t>
        </is>
      </c>
      <c r="E24" s="9" t="n">
        <v>2</v>
      </c>
      <c r="F24" s="9" t="inlineStr">
        <is>
          <t>Cool</t>
        </is>
      </c>
      <c r="G24" s="29">
        <f>IF(AND(C24="Cool",D24="Slow"),L23,IF(AND(C24="Cool",D24="Fast"),M23,IF(AND(C24="Warm",D24="Slow"),N23,O23)))</f>
        <v/>
      </c>
      <c r="H24" s="29">
        <f>IF(F24="Overheated",0,IF(F24="Cool",MAX(L23,M23),MAX(N23,O23)))</f>
        <v/>
      </c>
      <c r="I24" s="29">
        <f>E24+0.9*H24</f>
        <v/>
      </c>
      <c r="J24" s="29">
        <f>I24-G24</f>
        <v/>
      </c>
      <c r="K24" s="29">
        <f>G24+0.1*J24</f>
        <v/>
      </c>
      <c r="L24" s="29">
        <f>IF(AND(C24="Cool",D24="Slow"),K24,L23)</f>
        <v/>
      </c>
      <c r="M24" s="29">
        <f>IF(AND(C24="Cool",D24="Fast"),K24,M23)</f>
        <v/>
      </c>
      <c r="N24" s="29">
        <f>IF(AND(C24="Warm",D24="Slow"),K24,N23)</f>
        <v/>
      </c>
      <c r="O24" s="29">
        <f>IF(AND(C24="Warm",D24="Fast"),K24,O23)</f>
        <v/>
      </c>
    </row>
    <row r="25">
      <c r="A25" s="9" t="n">
        <v>19</v>
      </c>
      <c r="B25" s="9" t="n">
        <v>1</v>
      </c>
      <c r="C25" s="9" t="inlineStr">
        <is>
          <t>Cool</t>
        </is>
      </c>
      <c r="D25" s="9" t="inlineStr">
        <is>
          <t>Slow</t>
        </is>
      </c>
      <c r="E25" s="9" t="n">
        <v>1</v>
      </c>
      <c r="F25" s="9" t="inlineStr">
        <is>
          <t>Warm</t>
        </is>
      </c>
      <c r="G25" s="29">
        <f>IF(AND(C25="Cool",D25="Slow"),L24,IF(AND(C25="Cool",D25="Fast"),M24,IF(AND(C25="Warm",D25="Slow"),N24,O24)))</f>
        <v/>
      </c>
      <c r="H25" s="29">
        <f>IF(F25="Overheated",0,IF(F25="Cool",MAX(L24,M24),MAX(N24,O24)))</f>
        <v/>
      </c>
      <c r="I25" s="29">
        <f>E25+0.9*H25</f>
        <v/>
      </c>
      <c r="J25" s="29">
        <f>I25-G25</f>
        <v/>
      </c>
      <c r="K25" s="29">
        <f>G25+0.1*J25</f>
        <v/>
      </c>
      <c r="L25" s="29">
        <f>IF(AND(C25="Cool",D25="Slow"),K25,L24)</f>
        <v/>
      </c>
      <c r="M25" s="29">
        <f>IF(AND(C25="Cool",D25="Fast"),K25,M24)</f>
        <v/>
      </c>
      <c r="N25" s="29">
        <f>IF(AND(C25="Warm",D25="Slow"),K25,N24)</f>
        <v/>
      </c>
      <c r="O25" s="29">
        <f>IF(AND(C25="Warm",D25="Fast"),K25,O24)</f>
        <v/>
      </c>
    </row>
    <row r="26">
      <c r="A26" s="9" t="n">
        <v>20</v>
      </c>
      <c r="B26" s="9" t="n">
        <v>1</v>
      </c>
      <c r="C26" s="9" t="inlineStr">
        <is>
          <t>Warm</t>
        </is>
      </c>
      <c r="D26" s="9" t="inlineStr">
        <is>
          <t>Slow</t>
        </is>
      </c>
      <c r="E26" s="9" t="n">
        <v>1</v>
      </c>
      <c r="F26" s="9" t="inlineStr">
        <is>
          <t>Warm</t>
        </is>
      </c>
      <c r="G26" s="29">
        <f>IF(AND(C26="Cool",D26="Slow"),L25,IF(AND(C26="Cool",D26="Fast"),M25,IF(AND(C26="Warm",D26="Slow"),N25,O25)))</f>
        <v/>
      </c>
      <c r="H26" s="29">
        <f>IF(F26="Overheated",0,IF(F26="Cool",MAX(L25,M25),MAX(N25,O25)))</f>
        <v/>
      </c>
      <c r="I26" s="29">
        <f>E26+0.9*H26</f>
        <v/>
      </c>
      <c r="J26" s="29">
        <f>I26-G26</f>
        <v/>
      </c>
      <c r="K26" s="29">
        <f>G26+0.1*J26</f>
        <v/>
      </c>
      <c r="L26" s="29">
        <f>IF(AND(C26="Cool",D26="Slow"),K26,L25)</f>
        <v/>
      </c>
      <c r="M26" s="29">
        <f>IF(AND(C26="Cool",D26="Fast"),K26,M25)</f>
        <v/>
      </c>
      <c r="N26" s="29">
        <f>IF(AND(C26="Warm",D26="Slow"),K26,N25)</f>
        <v/>
      </c>
      <c r="O26" s="29">
        <f>IF(AND(C26="Warm",D26="Fast"),K26,O25)</f>
        <v/>
      </c>
    </row>
    <row r="27">
      <c r="A27" s="9" t="n">
        <v>21</v>
      </c>
      <c r="B27" s="9" t="n">
        <v>2</v>
      </c>
      <c r="C27" s="9" t="inlineStr">
        <is>
          <t>Cool</t>
        </is>
      </c>
      <c r="D27" s="9" t="inlineStr">
        <is>
          <t>Fast</t>
        </is>
      </c>
      <c r="E27" s="9" t="n">
        <v>2</v>
      </c>
      <c r="F27" s="9" t="inlineStr">
        <is>
          <t>Warm</t>
        </is>
      </c>
      <c r="G27" s="29">
        <f>IF(AND(C27="Cool",D27="Slow"),L26,IF(AND(C27="Cool",D27="Fast"),M26,IF(AND(C27="Warm",D27="Slow"),N26,O26)))</f>
        <v/>
      </c>
      <c r="H27" s="29">
        <f>IF(F27="Overheated",0,IF(F27="Cool",MAX(L26,M26),MAX(N26,O26)))</f>
        <v/>
      </c>
      <c r="I27" s="29">
        <f>E27+0.9*H27</f>
        <v/>
      </c>
      <c r="J27" s="29">
        <f>I27-G27</f>
        <v/>
      </c>
      <c r="K27" s="29">
        <f>G27+0.1*J27</f>
        <v/>
      </c>
      <c r="L27" s="29">
        <f>IF(AND(C27="Cool",D27="Slow"),K27,L26)</f>
        <v/>
      </c>
      <c r="M27" s="29">
        <f>IF(AND(C27="Cool",D27="Fast"),K27,M26)</f>
        <v/>
      </c>
      <c r="N27" s="29">
        <f>IF(AND(C27="Warm",D27="Slow"),K27,N26)</f>
        <v/>
      </c>
      <c r="O27" s="29">
        <f>IF(AND(C27="Warm",D27="Fast"),K27,O26)</f>
        <v/>
      </c>
    </row>
    <row r="28">
      <c r="A28" s="9" t="n">
        <v>22</v>
      </c>
      <c r="B28" s="9" t="n">
        <v>2</v>
      </c>
      <c r="C28" s="9" t="inlineStr">
        <is>
          <t>Warm</t>
        </is>
      </c>
      <c r="D28" s="9" t="inlineStr">
        <is>
          <t>Slow</t>
        </is>
      </c>
      <c r="E28" s="9" t="n">
        <v>1</v>
      </c>
      <c r="F28" s="9" t="inlineStr">
        <is>
          <t>Cool</t>
        </is>
      </c>
      <c r="G28" s="29">
        <f>IF(AND(C28="Cool",D28="Slow"),L27,IF(AND(C28="Cool",D28="Fast"),M27,IF(AND(C28="Warm",D28="Slow"),N27,O27)))</f>
        <v/>
      </c>
      <c r="H28" s="29">
        <f>IF(F28="Overheated",0,IF(F28="Cool",MAX(L27,M27),MAX(N27,O27)))</f>
        <v/>
      </c>
      <c r="I28" s="29">
        <f>E28+0.9*H28</f>
        <v/>
      </c>
      <c r="J28" s="29">
        <f>I28-G28</f>
        <v/>
      </c>
      <c r="K28" s="29">
        <f>G28+0.1*J28</f>
        <v/>
      </c>
      <c r="L28" s="29">
        <f>IF(AND(C28="Cool",D28="Slow"),K28,L27)</f>
        <v/>
      </c>
      <c r="M28" s="29">
        <f>IF(AND(C28="Cool",D28="Fast"),K28,M27)</f>
        <v/>
      </c>
      <c r="N28" s="29">
        <f>IF(AND(C28="Warm",D28="Slow"),K28,N27)</f>
        <v/>
      </c>
      <c r="O28" s="29">
        <f>IF(AND(C28="Warm",D28="Fast"),K28,O27)</f>
        <v/>
      </c>
    </row>
    <row r="29">
      <c r="A29" s="9" t="n">
        <v>23</v>
      </c>
      <c r="B29" s="9" t="n">
        <v>2</v>
      </c>
      <c r="C29" s="9" t="inlineStr">
        <is>
          <t>Cool</t>
        </is>
      </c>
      <c r="D29" s="9" t="inlineStr">
        <is>
          <t>Fast</t>
        </is>
      </c>
      <c r="E29" s="9" t="n">
        <v>2</v>
      </c>
      <c r="F29" s="9" t="inlineStr">
        <is>
          <t>Cool</t>
        </is>
      </c>
      <c r="G29" s="29">
        <f>IF(AND(C29="Cool",D29="Slow"),L28,IF(AND(C29="Cool",D29="Fast"),M28,IF(AND(C29="Warm",D29="Slow"),N28,O28)))</f>
        <v/>
      </c>
      <c r="H29" s="29">
        <f>IF(F29="Overheated",0,IF(F29="Cool",MAX(L28,M28),MAX(N28,O28)))</f>
        <v/>
      </c>
      <c r="I29" s="29">
        <f>E29+0.9*H29</f>
        <v/>
      </c>
      <c r="J29" s="29">
        <f>I29-G29</f>
        <v/>
      </c>
      <c r="K29" s="29">
        <f>G29+0.1*J29</f>
        <v/>
      </c>
      <c r="L29" s="29">
        <f>IF(AND(C29="Cool",D29="Slow"),K29,L28)</f>
        <v/>
      </c>
      <c r="M29" s="29">
        <f>IF(AND(C29="Cool",D29="Fast"),K29,M28)</f>
        <v/>
      </c>
      <c r="N29" s="29">
        <f>IF(AND(C29="Warm",D29="Slow"),K29,N28)</f>
        <v/>
      </c>
      <c r="O29" s="29">
        <f>IF(AND(C29="Warm",D29="Fast"),K29,O28)</f>
        <v/>
      </c>
    </row>
    <row r="30">
      <c r="A30" s="9" t="n">
        <v>24</v>
      </c>
      <c r="B30" s="9" t="n">
        <v>2</v>
      </c>
      <c r="C30" s="9" t="inlineStr">
        <is>
          <t>Cool</t>
        </is>
      </c>
      <c r="D30" s="9" t="inlineStr">
        <is>
          <t>Fast</t>
        </is>
      </c>
      <c r="E30" s="9" t="n">
        <v>2</v>
      </c>
      <c r="F30" s="9" t="inlineStr">
        <is>
          <t>Cool</t>
        </is>
      </c>
      <c r="G30" s="29">
        <f>IF(AND(C30="Cool",D30="Slow"),L29,IF(AND(C30="Cool",D30="Fast"),M29,IF(AND(C30="Warm",D30="Slow"),N29,O29)))</f>
        <v/>
      </c>
      <c r="H30" s="29">
        <f>IF(F30="Overheated",0,IF(F30="Cool",MAX(L29,M29),MAX(N29,O29)))</f>
        <v/>
      </c>
      <c r="I30" s="29">
        <f>E30+0.9*H30</f>
        <v/>
      </c>
      <c r="J30" s="29">
        <f>I30-G30</f>
        <v/>
      </c>
      <c r="K30" s="29">
        <f>G30+0.1*J30</f>
        <v/>
      </c>
      <c r="L30" s="29">
        <f>IF(AND(C30="Cool",D30="Slow"),K30,L29)</f>
        <v/>
      </c>
      <c r="M30" s="29">
        <f>IF(AND(C30="Cool",D30="Fast"),K30,M29)</f>
        <v/>
      </c>
      <c r="N30" s="29">
        <f>IF(AND(C30="Warm",D30="Slow"),K30,N29)</f>
        <v/>
      </c>
      <c r="O30" s="29">
        <f>IF(AND(C30="Warm",D30="Fast"),K30,O29)</f>
        <v/>
      </c>
    </row>
    <row r="31">
      <c r="A31" s="9" t="n">
        <v>25</v>
      </c>
      <c r="B31" s="9" t="n">
        <v>2</v>
      </c>
      <c r="C31" s="9" t="inlineStr">
        <is>
          <t>Cool</t>
        </is>
      </c>
      <c r="D31" s="9" t="inlineStr">
        <is>
          <t>Fast</t>
        </is>
      </c>
      <c r="E31" s="9" t="n">
        <v>2</v>
      </c>
      <c r="F31" s="9" t="inlineStr">
        <is>
          <t>Cool</t>
        </is>
      </c>
      <c r="G31" s="29">
        <f>IF(AND(C31="Cool",D31="Slow"),L30,IF(AND(C31="Cool",D31="Fast"),M30,IF(AND(C31="Warm",D31="Slow"),N30,O30)))</f>
        <v/>
      </c>
      <c r="H31" s="29">
        <f>IF(F31="Overheated",0,IF(F31="Cool",MAX(L30,M30),MAX(N30,O30)))</f>
        <v/>
      </c>
      <c r="I31" s="29">
        <f>E31+0.9*H31</f>
        <v/>
      </c>
      <c r="J31" s="29">
        <f>I31-G31</f>
        <v/>
      </c>
      <c r="K31" s="29">
        <f>G31+0.1*J31</f>
        <v/>
      </c>
      <c r="L31" s="29">
        <f>IF(AND(C31="Cool",D31="Slow"),K31,L30)</f>
        <v/>
      </c>
      <c r="M31" s="29">
        <f>IF(AND(C31="Cool",D31="Fast"),K31,M30)</f>
        <v/>
      </c>
      <c r="N31" s="29">
        <f>IF(AND(C31="Warm",D31="Slow"),K31,N30)</f>
        <v/>
      </c>
      <c r="O31" s="29">
        <f>IF(AND(C31="Warm",D31="Fast"),K31,O30)</f>
        <v/>
      </c>
    </row>
    <row r="32">
      <c r="A32" s="9" t="n">
        <v>26</v>
      </c>
      <c r="B32" s="9" t="n">
        <v>2</v>
      </c>
      <c r="C32" s="9" t="inlineStr">
        <is>
          <t>Cool</t>
        </is>
      </c>
      <c r="D32" s="9" t="inlineStr">
        <is>
          <t>Fast</t>
        </is>
      </c>
      <c r="E32" s="9" t="n">
        <v>2</v>
      </c>
      <c r="F32" s="9" t="inlineStr">
        <is>
          <t>Warm</t>
        </is>
      </c>
      <c r="G32" s="29">
        <f>IF(AND(C32="Cool",D32="Slow"),L31,IF(AND(C32="Cool",D32="Fast"),M31,IF(AND(C32="Warm",D32="Slow"),N31,O31)))</f>
        <v/>
      </c>
      <c r="H32" s="29">
        <f>IF(F32="Overheated",0,IF(F32="Cool",MAX(L31,M31),MAX(N31,O31)))</f>
        <v/>
      </c>
      <c r="I32" s="29">
        <f>E32+0.9*H32</f>
        <v/>
      </c>
      <c r="J32" s="29">
        <f>I32-G32</f>
        <v/>
      </c>
      <c r="K32" s="29">
        <f>G32+0.1*J32</f>
        <v/>
      </c>
      <c r="L32" s="29">
        <f>IF(AND(C32="Cool",D32="Slow"),K32,L31)</f>
        <v/>
      </c>
      <c r="M32" s="29">
        <f>IF(AND(C32="Cool",D32="Fast"),K32,M31)</f>
        <v/>
      </c>
      <c r="N32" s="29">
        <f>IF(AND(C32="Warm",D32="Slow"),K32,N31)</f>
        <v/>
      </c>
      <c r="O32" s="29">
        <f>IF(AND(C32="Warm",D32="Fast"),K32,O31)</f>
        <v/>
      </c>
    </row>
    <row r="33">
      <c r="A33" s="9" t="n">
        <v>27</v>
      </c>
      <c r="B33" s="9" t="n">
        <v>2</v>
      </c>
      <c r="C33" s="9" t="inlineStr">
        <is>
          <t>Warm</t>
        </is>
      </c>
      <c r="D33" s="9" t="inlineStr">
        <is>
          <t>Slow</t>
        </is>
      </c>
      <c r="E33" s="9" t="n">
        <v>1</v>
      </c>
      <c r="F33" s="9" t="inlineStr">
        <is>
          <t>Warm</t>
        </is>
      </c>
      <c r="G33" s="29">
        <f>IF(AND(C33="Cool",D33="Slow"),L32,IF(AND(C33="Cool",D33="Fast"),M32,IF(AND(C33="Warm",D33="Slow"),N32,O32)))</f>
        <v/>
      </c>
      <c r="H33" s="29">
        <f>IF(F33="Overheated",0,IF(F33="Cool",MAX(L32,M32),MAX(N32,O32)))</f>
        <v/>
      </c>
      <c r="I33" s="29">
        <f>E33+0.9*H33</f>
        <v/>
      </c>
      <c r="J33" s="29">
        <f>I33-G33</f>
        <v/>
      </c>
      <c r="K33" s="29">
        <f>G33+0.1*J33</f>
        <v/>
      </c>
      <c r="L33" s="29">
        <f>IF(AND(C33="Cool",D33="Slow"),K33,L32)</f>
        <v/>
      </c>
      <c r="M33" s="29">
        <f>IF(AND(C33="Cool",D33="Fast"),K33,M32)</f>
        <v/>
      </c>
      <c r="N33" s="29">
        <f>IF(AND(C33="Warm",D33="Slow"),K33,N32)</f>
        <v/>
      </c>
      <c r="O33" s="29">
        <f>IF(AND(C33="Warm",D33="Fast"),K33,O32)</f>
        <v/>
      </c>
    </row>
    <row r="34">
      <c r="A34" s="9" t="n">
        <v>28</v>
      </c>
      <c r="B34" s="9" t="n">
        <v>2</v>
      </c>
      <c r="C34" s="9" t="inlineStr">
        <is>
          <t>Warm</t>
        </is>
      </c>
      <c r="D34" s="9" t="inlineStr">
        <is>
          <t>Slow</t>
        </is>
      </c>
      <c r="E34" s="9" t="n">
        <v>1</v>
      </c>
      <c r="F34" s="9" t="inlineStr">
        <is>
          <t>Warm</t>
        </is>
      </c>
      <c r="G34" s="29">
        <f>IF(AND(C34="Cool",D34="Slow"),L33,IF(AND(C34="Cool",D34="Fast"),M33,IF(AND(C34="Warm",D34="Slow"),N33,O33)))</f>
        <v/>
      </c>
      <c r="H34" s="29">
        <f>IF(F34="Overheated",0,IF(F34="Cool",MAX(L33,M33),MAX(N33,O33)))</f>
        <v/>
      </c>
      <c r="I34" s="29">
        <f>E34+0.9*H34</f>
        <v/>
      </c>
      <c r="J34" s="29">
        <f>I34-G34</f>
        <v/>
      </c>
      <c r="K34" s="29">
        <f>G34+0.1*J34</f>
        <v/>
      </c>
      <c r="L34" s="29">
        <f>IF(AND(C34="Cool",D34="Slow"),K34,L33)</f>
        <v/>
      </c>
      <c r="M34" s="29">
        <f>IF(AND(C34="Cool",D34="Fast"),K34,M33)</f>
        <v/>
      </c>
      <c r="N34" s="29">
        <f>IF(AND(C34="Warm",D34="Slow"),K34,N33)</f>
        <v/>
      </c>
      <c r="O34" s="29">
        <f>IF(AND(C34="Warm",D34="Fast"),K34,O33)</f>
        <v/>
      </c>
    </row>
    <row r="35">
      <c r="A35" s="9" t="n">
        <v>29</v>
      </c>
      <c r="B35" s="9" t="n">
        <v>2</v>
      </c>
      <c r="C35" s="9" t="inlineStr">
        <is>
          <t>Warm</t>
        </is>
      </c>
      <c r="D35" s="9" t="inlineStr">
        <is>
          <t>Slow</t>
        </is>
      </c>
      <c r="E35" s="9" t="n">
        <v>1</v>
      </c>
      <c r="F35" s="9" t="inlineStr">
        <is>
          <t>Warm</t>
        </is>
      </c>
      <c r="G35" s="29">
        <f>IF(AND(C35="Cool",D35="Slow"),L34,IF(AND(C35="Cool",D35="Fast"),M34,IF(AND(C35="Warm",D35="Slow"),N34,O34)))</f>
        <v/>
      </c>
      <c r="H35" s="29">
        <f>IF(F35="Overheated",0,IF(F35="Cool",MAX(L34,M34),MAX(N34,O34)))</f>
        <v/>
      </c>
      <c r="I35" s="29">
        <f>E35+0.9*H35</f>
        <v/>
      </c>
      <c r="J35" s="29">
        <f>I35-G35</f>
        <v/>
      </c>
      <c r="K35" s="29">
        <f>G35+0.1*J35</f>
        <v/>
      </c>
      <c r="L35" s="29">
        <f>IF(AND(C35="Cool",D35="Slow"),K35,L34)</f>
        <v/>
      </c>
      <c r="M35" s="29">
        <f>IF(AND(C35="Cool",D35="Fast"),K35,M34)</f>
        <v/>
      </c>
      <c r="N35" s="29">
        <f>IF(AND(C35="Warm",D35="Slow"),K35,N34)</f>
        <v/>
      </c>
      <c r="O35" s="29">
        <f>IF(AND(C35="Warm",D35="Fast"),K35,O34)</f>
        <v/>
      </c>
    </row>
    <row r="36">
      <c r="A36" s="9" t="n">
        <v>30</v>
      </c>
      <c r="B36" s="9" t="n">
        <v>2</v>
      </c>
      <c r="C36" s="9" t="inlineStr">
        <is>
          <t>Warm</t>
        </is>
      </c>
      <c r="D36" s="9" t="inlineStr">
        <is>
          <t>Slow</t>
        </is>
      </c>
      <c r="E36" s="9" t="n">
        <v>1</v>
      </c>
      <c r="F36" s="9" t="inlineStr">
        <is>
          <t>Cool</t>
        </is>
      </c>
      <c r="G36" s="29">
        <f>IF(AND(C36="Cool",D36="Slow"),L35,IF(AND(C36="Cool",D36="Fast"),M35,IF(AND(C36="Warm",D36="Slow"),N35,O35)))</f>
        <v/>
      </c>
      <c r="H36" s="29">
        <f>IF(F36="Overheated",0,IF(F36="Cool",MAX(L35,M35),MAX(N35,O35)))</f>
        <v/>
      </c>
      <c r="I36" s="29">
        <f>E36+0.9*H36</f>
        <v/>
      </c>
      <c r="J36" s="29">
        <f>I36-G36</f>
        <v/>
      </c>
      <c r="K36" s="29">
        <f>G36+0.1*J36</f>
        <v/>
      </c>
      <c r="L36" s="29">
        <f>IF(AND(C36="Cool",D36="Slow"),K36,L35)</f>
        <v/>
      </c>
      <c r="M36" s="29">
        <f>IF(AND(C36="Cool",D36="Fast"),K36,M35)</f>
        <v/>
      </c>
      <c r="N36" s="29">
        <f>IF(AND(C36="Warm",D36="Slow"),K36,N35)</f>
        <v/>
      </c>
      <c r="O36" s="29">
        <f>IF(AND(C36="Warm",D36="Fast"),K36,O35)</f>
        <v/>
      </c>
    </row>
    <row r="37">
      <c r="A37" s="9" t="n">
        <v>31</v>
      </c>
      <c r="B37" s="9" t="n">
        <v>2</v>
      </c>
      <c r="C37" s="9" t="inlineStr">
        <is>
          <t>Cool</t>
        </is>
      </c>
      <c r="D37" s="9" t="inlineStr">
        <is>
          <t>Fast</t>
        </is>
      </c>
      <c r="E37" s="9" t="n">
        <v>2</v>
      </c>
      <c r="F37" s="9" t="inlineStr">
        <is>
          <t>Cool</t>
        </is>
      </c>
      <c r="G37" s="29">
        <f>IF(AND(C37="Cool",D37="Slow"),L36,IF(AND(C37="Cool",D37="Fast"),M36,IF(AND(C37="Warm",D37="Slow"),N36,O36)))</f>
        <v/>
      </c>
      <c r="H37" s="29">
        <f>IF(F37="Overheated",0,IF(F37="Cool",MAX(L36,M36),MAX(N36,O36)))</f>
        <v/>
      </c>
      <c r="I37" s="29">
        <f>E37+0.9*H37</f>
        <v/>
      </c>
      <c r="J37" s="29">
        <f>I37-G37</f>
        <v/>
      </c>
      <c r="K37" s="29">
        <f>G37+0.1*J37</f>
        <v/>
      </c>
      <c r="L37" s="29">
        <f>IF(AND(C37="Cool",D37="Slow"),K37,L36)</f>
        <v/>
      </c>
      <c r="M37" s="29">
        <f>IF(AND(C37="Cool",D37="Fast"),K37,M36)</f>
        <v/>
      </c>
      <c r="N37" s="29">
        <f>IF(AND(C37="Warm",D37="Slow"),K37,N36)</f>
        <v/>
      </c>
      <c r="O37" s="29">
        <f>IF(AND(C37="Warm",D37="Fast"),K37,O36)</f>
        <v/>
      </c>
    </row>
    <row r="38">
      <c r="A38" s="9" t="n">
        <v>32</v>
      </c>
      <c r="B38" s="9" t="n">
        <v>2</v>
      </c>
      <c r="C38" s="9" t="inlineStr">
        <is>
          <t>Cool</t>
        </is>
      </c>
      <c r="D38" s="9" t="inlineStr">
        <is>
          <t>Fast</t>
        </is>
      </c>
      <c r="E38" s="9" t="n">
        <v>2</v>
      </c>
      <c r="F38" s="9" t="inlineStr">
        <is>
          <t>Cool</t>
        </is>
      </c>
      <c r="G38" s="29">
        <f>IF(AND(C38="Cool",D38="Slow"),L37,IF(AND(C38="Cool",D38="Fast"),M37,IF(AND(C38="Warm",D38="Slow"),N37,O37)))</f>
        <v/>
      </c>
      <c r="H38" s="29">
        <f>IF(F38="Overheated",0,IF(F38="Cool",MAX(L37,M37),MAX(N37,O37)))</f>
        <v/>
      </c>
      <c r="I38" s="29">
        <f>E38+0.9*H38</f>
        <v/>
      </c>
      <c r="J38" s="29">
        <f>I38-G38</f>
        <v/>
      </c>
      <c r="K38" s="29">
        <f>G38+0.1*J38</f>
        <v/>
      </c>
      <c r="L38" s="29">
        <f>IF(AND(C38="Cool",D38="Slow"),K38,L37)</f>
        <v/>
      </c>
      <c r="M38" s="29">
        <f>IF(AND(C38="Cool",D38="Fast"),K38,M37)</f>
        <v/>
      </c>
      <c r="N38" s="29">
        <f>IF(AND(C38="Warm",D38="Slow"),K38,N37)</f>
        <v/>
      </c>
      <c r="O38" s="29">
        <f>IF(AND(C38="Warm",D38="Fast"),K38,O37)</f>
        <v/>
      </c>
    </row>
    <row r="39">
      <c r="A39" s="9" t="n">
        <v>33</v>
      </c>
      <c r="B39" s="9" t="n">
        <v>2</v>
      </c>
      <c r="C39" s="9" t="inlineStr">
        <is>
          <t>Cool</t>
        </is>
      </c>
      <c r="D39" s="9" t="inlineStr">
        <is>
          <t>Fast</t>
        </is>
      </c>
      <c r="E39" s="9" t="n">
        <v>2</v>
      </c>
      <c r="F39" s="9" t="inlineStr">
        <is>
          <t>Warm</t>
        </is>
      </c>
      <c r="G39" s="29">
        <f>IF(AND(C39="Cool",D39="Slow"),L38,IF(AND(C39="Cool",D39="Fast"),M38,IF(AND(C39="Warm",D39="Slow"),N38,O38)))</f>
        <v/>
      </c>
      <c r="H39" s="29">
        <f>IF(F39="Overheated",0,IF(F39="Cool",MAX(L38,M38),MAX(N38,O38)))</f>
        <v/>
      </c>
      <c r="I39" s="29">
        <f>E39+0.9*H39</f>
        <v/>
      </c>
      <c r="J39" s="29">
        <f>I39-G39</f>
        <v/>
      </c>
      <c r="K39" s="29">
        <f>G39+0.1*J39</f>
        <v/>
      </c>
      <c r="L39" s="29">
        <f>IF(AND(C39="Cool",D39="Slow"),K39,L38)</f>
        <v/>
      </c>
      <c r="M39" s="29">
        <f>IF(AND(C39="Cool",D39="Fast"),K39,M38)</f>
        <v/>
      </c>
      <c r="N39" s="29">
        <f>IF(AND(C39="Warm",D39="Slow"),K39,N38)</f>
        <v/>
      </c>
      <c r="O39" s="29">
        <f>IF(AND(C39="Warm",D39="Fast"),K39,O38)</f>
        <v/>
      </c>
    </row>
    <row r="40">
      <c r="A40" s="9" t="n">
        <v>34</v>
      </c>
      <c r="B40" s="9" t="n">
        <v>2</v>
      </c>
      <c r="C40" s="9" t="inlineStr">
        <is>
          <t>Warm</t>
        </is>
      </c>
      <c r="D40" s="9" t="inlineStr">
        <is>
          <t>Slow</t>
        </is>
      </c>
      <c r="E40" s="9" t="n">
        <v>1</v>
      </c>
      <c r="F40" s="9" t="inlineStr">
        <is>
          <t>Cool</t>
        </is>
      </c>
      <c r="G40" s="29">
        <f>IF(AND(C40="Cool",D40="Slow"),L39,IF(AND(C40="Cool",D40="Fast"),M39,IF(AND(C40="Warm",D40="Slow"),N39,O39)))</f>
        <v/>
      </c>
      <c r="H40" s="29">
        <f>IF(F40="Overheated",0,IF(F40="Cool",MAX(L39,M39),MAX(N39,O39)))</f>
        <v/>
      </c>
      <c r="I40" s="29">
        <f>E40+0.9*H40</f>
        <v/>
      </c>
      <c r="J40" s="29">
        <f>I40-G40</f>
        <v/>
      </c>
      <c r="K40" s="29">
        <f>G40+0.1*J40</f>
        <v/>
      </c>
      <c r="L40" s="29">
        <f>IF(AND(C40="Cool",D40="Slow"),K40,L39)</f>
        <v/>
      </c>
      <c r="M40" s="29">
        <f>IF(AND(C40="Cool",D40="Fast"),K40,M39)</f>
        <v/>
      </c>
      <c r="N40" s="29">
        <f>IF(AND(C40="Warm",D40="Slow"),K40,N39)</f>
        <v/>
      </c>
      <c r="O40" s="29">
        <f>IF(AND(C40="Warm",D40="Fast"),K40,O39)</f>
        <v/>
      </c>
    </row>
    <row r="41">
      <c r="A41" s="9" t="n">
        <v>35</v>
      </c>
      <c r="B41" s="9" t="n">
        <v>2</v>
      </c>
      <c r="C41" s="9" t="inlineStr">
        <is>
          <t>Cool</t>
        </is>
      </c>
      <c r="D41" s="9" t="inlineStr">
        <is>
          <t>Fast</t>
        </is>
      </c>
      <c r="E41" s="9" t="n">
        <v>2</v>
      </c>
      <c r="F41" s="9" t="inlineStr">
        <is>
          <t>Cool</t>
        </is>
      </c>
      <c r="G41" s="29">
        <f>IF(AND(C41="Cool",D41="Slow"),L40,IF(AND(C41="Cool",D41="Fast"),M40,IF(AND(C41="Warm",D41="Slow"),N40,O40)))</f>
        <v/>
      </c>
      <c r="H41" s="29">
        <f>IF(F41="Overheated",0,IF(F41="Cool",MAX(L40,M40),MAX(N40,O40)))</f>
        <v/>
      </c>
      <c r="I41" s="29">
        <f>E41+0.9*H41</f>
        <v/>
      </c>
      <c r="J41" s="29">
        <f>I41-G41</f>
        <v/>
      </c>
      <c r="K41" s="29">
        <f>G41+0.1*J41</f>
        <v/>
      </c>
      <c r="L41" s="29">
        <f>IF(AND(C41="Cool",D41="Slow"),K41,L40)</f>
        <v/>
      </c>
      <c r="M41" s="29">
        <f>IF(AND(C41="Cool",D41="Fast"),K41,M40)</f>
        <v/>
      </c>
      <c r="N41" s="29">
        <f>IF(AND(C41="Warm",D41="Slow"),K41,N40)</f>
        <v/>
      </c>
      <c r="O41" s="29">
        <f>IF(AND(C41="Warm",D41="Fast"),K41,O40)</f>
        <v/>
      </c>
    </row>
    <row r="42">
      <c r="A42" s="9" t="n">
        <v>36</v>
      </c>
      <c r="B42" s="9" t="n">
        <v>2</v>
      </c>
      <c r="C42" s="9" t="inlineStr">
        <is>
          <t>Cool</t>
        </is>
      </c>
      <c r="D42" s="9" t="inlineStr">
        <is>
          <t>Fast</t>
        </is>
      </c>
      <c r="E42" s="9" t="n">
        <v>2</v>
      </c>
      <c r="F42" s="9" t="inlineStr">
        <is>
          <t>Cool</t>
        </is>
      </c>
      <c r="G42" s="29">
        <f>IF(AND(C42="Cool",D42="Slow"),L41,IF(AND(C42="Cool",D42="Fast"),M41,IF(AND(C42="Warm",D42="Slow"),N41,O41)))</f>
        <v/>
      </c>
      <c r="H42" s="29">
        <f>IF(F42="Overheated",0,IF(F42="Cool",MAX(L41,M41),MAX(N41,O41)))</f>
        <v/>
      </c>
      <c r="I42" s="29">
        <f>E42+0.9*H42</f>
        <v/>
      </c>
      <c r="J42" s="29">
        <f>I42-G42</f>
        <v/>
      </c>
      <c r="K42" s="29">
        <f>G42+0.1*J42</f>
        <v/>
      </c>
      <c r="L42" s="29">
        <f>IF(AND(C42="Cool",D42="Slow"),K42,L41)</f>
        <v/>
      </c>
      <c r="M42" s="29">
        <f>IF(AND(C42="Cool",D42="Fast"),K42,M41)</f>
        <v/>
      </c>
      <c r="N42" s="29">
        <f>IF(AND(C42="Warm",D42="Slow"),K42,N41)</f>
        <v/>
      </c>
      <c r="O42" s="29">
        <f>IF(AND(C42="Warm",D42="Fast"),K42,O41)</f>
        <v/>
      </c>
    </row>
    <row r="43">
      <c r="A43" s="9" t="n">
        <v>37</v>
      </c>
      <c r="B43" s="9" t="n">
        <v>2</v>
      </c>
      <c r="C43" s="9" t="inlineStr">
        <is>
          <t>Cool</t>
        </is>
      </c>
      <c r="D43" s="9" t="inlineStr">
        <is>
          <t>Fast</t>
        </is>
      </c>
      <c r="E43" s="9" t="n">
        <v>2</v>
      </c>
      <c r="F43" s="9" t="inlineStr">
        <is>
          <t>Warm</t>
        </is>
      </c>
      <c r="G43" s="29">
        <f>IF(AND(C43="Cool",D43="Slow"),L42,IF(AND(C43="Cool",D43="Fast"),M42,IF(AND(C43="Warm",D43="Slow"),N42,O42)))</f>
        <v/>
      </c>
      <c r="H43" s="29">
        <f>IF(F43="Overheated",0,IF(F43="Cool",MAX(L42,M42),MAX(N42,O42)))</f>
        <v/>
      </c>
      <c r="I43" s="29">
        <f>E43+0.9*H43</f>
        <v/>
      </c>
      <c r="J43" s="29">
        <f>I43-G43</f>
        <v/>
      </c>
      <c r="K43" s="29">
        <f>G43+0.1*J43</f>
        <v/>
      </c>
      <c r="L43" s="29">
        <f>IF(AND(C43="Cool",D43="Slow"),K43,L42)</f>
        <v/>
      </c>
      <c r="M43" s="29">
        <f>IF(AND(C43="Cool",D43="Fast"),K43,M42)</f>
        <v/>
      </c>
      <c r="N43" s="29">
        <f>IF(AND(C43="Warm",D43="Slow"),K43,N42)</f>
        <v/>
      </c>
      <c r="O43" s="29">
        <f>IF(AND(C43="Warm",D43="Fast"),K43,O42)</f>
        <v/>
      </c>
    </row>
    <row r="44">
      <c r="A44" s="9" t="n">
        <v>38</v>
      </c>
      <c r="B44" s="9" t="n">
        <v>2</v>
      </c>
      <c r="C44" s="9" t="inlineStr">
        <is>
          <t>Warm</t>
        </is>
      </c>
      <c r="D44" s="9" t="inlineStr">
        <is>
          <t>Slow</t>
        </is>
      </c>
      <c r="E44" s="9" t="n">
        <v>1</v>
      </c>
      <c r="F44" s="9" t="inlineStr">
        <is>
          <t>Cool</t>
        </is>
      </c>
      <c r="G44" s="29">
        <f>IF(AND(C44="Cool",D44="Slow"),L43,IF(AND(C44="Cool",D44="Fast"),M43,IF(AND(C44="Warm",D44="Slow"),N43,O43)))</f>
        <v/>
      </c>
      <c r="H44" s="29">
        <f>IF(F44="Overheated",0,IF(F44="Cool",MAX(L43,M43),MAX(N43,O43)))</f>
        <v/>
      </c>
      <c r="I44" s="29">
        <f>E44+0.9*H44</f>
        <v/>
      </c>
      <c r="J44" s="29">
        <f>I44-G44</f>
        <v/>
      </c>
      <c r="K44" s="29">
        <f>G44+0.1*J44</f>
        <v/>
      </c>
      <c r="L44" s="29">
        <f>IF(AND(C44="Cool",D44="Slow"),K44,L43)</f>
        <v/>
      </c>
      <c r="M44" s="29">
        <f>IF(AND(C44="Cool",D44="Fast"),K44,M43)</f>
        <v/>
      </c>
      <c r="N44" s="29">
        <f>IF(AND(C44="Warm",D44="Slow"),K44,N43)</f>
        <v/>
      </c>
      <c r="O44" s="29">
        <f>IF(AND(C44="Warm",D44="Fast"),K44,O43)</f>
        <v/>
      </c>
    </row>
    <row r="45">
      <c r="A45" s="9" t="n">
        <v>39</v>
      </c>
      <c r="B45" s="9" t="n">
        <v>2</v>
      </c>
      <c r="C45" s="9" t="inlineStr">
        <is>
          <t>Cool</t>
        </is>
      </c>
      <c r="D45" s="9" t="inlineStr">
        <is>
          <t>Slow</t>
        </is>
      </c>
      <c r="E45" s="9" t="n">
        <v>1</v>
      </c>
      <c r="F45" s="9" t="inlineStr">
        <is>
          <t>Warm</t>
        </is>
      </c>
      <c r="G45" s="29">
        <f>IF(AND(C45="Cool",D45="Slow"),L44,IF(AND(C45="Cool",D45="Fast"),M44,IF(AND(C45="Warm",D45="Slow"),N44,O44)))</f>
        <v/>
      </c>
      <c r="H45" s="29">
        <f>IF(F45="Overheated",0,IF(F45="Cool",MAX(L44,M44),MAX(N44,O44)))</f>
        <v/>
      </c>
      <c r="I45" s="29">
        <f>E45+0.9*H45</f>
        <v/>
      </c>
      <c r="J45" s="29">
        <f>I45-G45</f>
        <v/>
      </c>
      <c r="K45" s="29">
        <f>G45+0.1*J45</f>
        <v/>
      </c>
      <c r="L45" s="29">
        <f>IF(AND(C45="Cool",D45="Slow"),K45,L44)</f>
        <v/>
      </c>
      <c r="M45" s="29">
        <f>IF(AND(C45="Cool",D45="Fast"),K45,M44)</f>
        <v/>
      </c>
      <c r="N45" s="29">
        <f>IF(AND(C45="Warm",D45="Slow"),K45,N44)</f>
        <v/>
      </c>
      <c r="O45" s="29">
        <f>IF(AND(C45="Warm",D45="Fast"),K45,O44)</f>
        <v/>
      </c>
    </row>
    <row r="46">
      <c r="A46" s="9" t="n">
        <v>40</v>
      </c>
      <c r="B46" s="9" t="n">
        <v>2</v>
      </c>
      <c r="C46" s="9" t="inlineStr">
        <is>
          <t>Warm</t>
        </is>
      </c>
      <c r="D46" s="9" t="inlineStr">
        <is>
          <t>Slow</t>
        </is>
      </c>
      <c r="E46" s="9" t="n">
        <v>1</v>
      </c>
      <c r="F46" s="9" t="inlineStr">
        <is>
          <t>Warm</t>
        </is>
      </c>
      <c r="G46" s="29">
        <f>IF(AND(C46="Cool",D46="Slow"),L45,IF(AND(C46="Cool",D46="Fast"),M45,IF(AND(C46="Warm",D46="Slow"),N45,O45)))</f>
        <v/>
      </c>
      <c r="H46" s="29">
        <f>IF(F46="Overheated",0,IF(F46="Cool",MAX(L45,M45),MAX(N45,O45)))</f>
        <v/>
      </c>
      <c r="I46" s="29">
        <f>E46+0.9*H46</f>
        <v/>
      </c>
      <c r="J46" s="29">
        <f>I46-G46</f>
        <v/>
      </c>
      <c r="K46" s="29">
        <f>G46+0.1*J46</f>
        <v/>
      </c>
      <c r="L46" s="29">
        <f>IF(AND(C46="Cool",D46="Slow"),K46,L45)</f>
        <v/>
      </c>
      <c r="M46" s="29">
        <f>IF(AND(C46="Cool",D46="Fast"),K46,M45)</f>
        <v/>
      </c>
      <c r="N46" s="29">
        <f>IF(AND(C46="Warm",D46="Slow"),K46,N45)</f>
        <v/>
      </c>
      <c r="O46" s="29">
        <f>IF(AND(C46="Warm",D46="Fast"),K46,O45)</f>
        <v/>
      </c>
    </row>
    <row r="47">
      <c r="A47" s="9" t="n">
        <v>41</v>
      </c>
      <c r="B47" s="9" t="n">
        <v>3</v>
      </c>
      <c r="C47" s="9" t="inlineStr">
        <is>
          <t>Cool</t>
        </is>
      </c>
      <c r="D47" s="9" t="inlineStr">
        <is>
          <t>Fast</t>
        </is>
      </c>
      <c r="E47" s="9" t="n">
        <v>2</v>
      </c>
      <c r="F47" s="9" t="inlineStr">
        <is>
          <t>Warm</t>
        </is>
      </c>
      <c r="G47" s="29">
        <f>IF(AND(C47="Cool",D47="Slow"),L46,IF(AND(C47="Cool",D47="Fast"),M46,IF(AND(C47="Warm",D47="Slow"),N46,O46)))</f>
        <v/>
      </c>
      <c r="H47" s="29">
        <f>IF(F47="Overheated",0,IF(F47="Cool",MAX(L46,M46),MAX(N46,O46)))</f>
        <v/>
      </c>
      <c r="I47" s="29">
        <f>E47+0.9*H47</f>
        <v/>
      </c>
      <c r="J47" s="29">
        <f>I47-G47</f>
        <v/>
      </c>
      <c r="K47" s="29">
        <f>G47+0.1*J47</f>
        <v/>
      </c>
      <c r="L47" s="29">
        <f>IF(AND(C47="Cool",D47="Slow"),K47,L46)</f>
        <v/>
      </c>
      <c r="M47" s="29">
        <f>IF(AND(C47="Cool",D47="Fast"),K47,M46)</f>
        <v/>
      </c>
      <c r="N47" s="29">
        <f>IF(AND(C47="Warm",D47="Slow"),K47,N46)</f>
        <v/>
      </c>
      <c r="O47" s="29">
        <f>IF(AND(C47="Warm",D47="Fast"),K47,O46)</f>
        <v/>
      </c>
    </row>
    <row r="48">
      <c r="A48" s="9" t="n">
        <v>42</v>
      </c>
      <c r="B48" s="9" t="n">
        <v>3</v>
      </c>
      <c r="C48" s="9" t="inlineStr">
        <is>
          <t>Warm</t>
        </is>
      </c>
      <c r="D48" s="9" t="inlineStr">
        <is>
          <t>Slow</t>
        </is>
      </c>
      <c r="E48" s="9" t="n">
        <v>1</v>
      </c>
      <c r="F48" s="9" t="inlineStr">
        <is>
          <t>Cool</t>
        </is>
      </c>
      <c r="G48" s="29">
        <f>IF(AND(C48="Cool",D48="Slow"),L47,IF(AND(C48="Cool",D48="Fast"),M47,IF(AND(C48="Warm",D48="Slow"),N47,O47)))</f>
        <v/>
      </c>
      <c r="H48" s="29">
        <f>IF(F48="Overheated",0,IF(F48="Cool",MAX(L47,M47),MAX(N47,O47)))</f>
        <v/>
      </c>
      <c r="I48" s="29">
        <f>E48+0.9*H48</f>
        <v/>
      </c>
      <c r="J48" s="29">
        <f>I48-G48</f>
        <v/>
      </c>
      <c r="K48" s="29">
        <f>G48+0.1*J48</f>
        <v/>
      </c>
      <c r="L48" s="29">
        <f>IF(AND(C48="Cool",D48="Slow"),K48,L47)</f>
        <v/>
      </c>
      <c r="M48" s="29">
        <f>IF(AND(C48="Cool",D48="Fast"),K48,M47)</f>
        <v/>
      </c>
      <c r="N48" s="29">
        <f>IF(AND(C48="Warm",D48="Slow"),K48,N47)</f>
        <v/>
      </c>
      <c r="O48" s="29">
        <f>IF(AND(C48="Warm",D48="Fast"),K48,O47)</f>
        <v/>
      </c>
    </row>
    <row r="49">
      <c r="A49" s="9" t="n">
        <v>43</v>
      </c>
      <c r="B49" s="9" t="n">
        <v>3</v>
      </c>
      <c r="C49" s="9" t="inlineStr">
        <is>
          <t>Cool</t>
        </is>
      </c>
      <c r="D49" s="9" t="inlineStr">
        <is>
          <t>Fast</t>
        </is>
      </c>
      <c r="E49" s="9" t="n">
        <v>2</v>
      </c>
      <c r="F49" s="9" t="inlineStr">
        <is>
          <t>Warm</t>
        </is>
      </c>
      <c r="G49" s="29">
        <f>IF(AND(C49="Cool",D49="Slow"),L48,IF(AND(C49="Cool",D49="Fast"),M48,IF(AND(C49="Warm",D49="Slow"),N48,O48)))</f>
        <v/>
      </c>
      <c r="H49" s="29">
        <f>IF(F49="Overheated",0,IF(F49="Cool",MAX(L48,M48),MAX(N48,O48)))</f>
        <v/>
      </c>
      <c r="I49" s="29">
        <f>E49+0.9*H49</f>
        <v/>
      </c>
      <c r="J49" s="29">
        <f>I49-G49</f>
        <v/>
      </c>
      <c r="K49" s="29">
        <f>G49+0.1*J49</f>
        <v/>
      </c>
      <c r="L49" s="29">
        <f>IF(AND(C49="Cool",D49="Slow"),K49,L48)</f>
        <v/>
      </c>
      <c r="M49" s="29">
        <f>IF(AND(C49="Cool",D49="Fast"),K49,M48)</f>
        <v/>
      </c>
      <c r="N49" s="29">
        <f>IF(AND(C49="Warm",D49="Slow"),K49,N48)</f>
        <v/>
      </c>
      <c r="O49" s="29">
        <f>IF(AND(C49="Warm",D49="Fast"),K49,O48)</f>
        <v/>
      </c>
    </row>
    <row r="50">
      <c r="A50" s="9" t="n">
        <v>44</v>
      </c>
      <c r="B50" s="9" t="n">
        <v>3</v>
      </c>
      <c r="C50" s="9" t="inlineStr">
        <is>
          <t>Warm</t>
        </is>
      </c>
      <c r="D50" s="9" t="inlineStr">
        <is>
          <t>Slow</t>
        </is>
      </c>
      <c r="E50" s="9" t="n">
        <v>1</v>
      </c>
      <c r="F50" s="9" t="inlineStr">
        <is>
          <t>Warm</t>
        </is>
      </c>
      <c r="G50" s="29">
        <f>IF(AND(C50="Cool",D50="Slow"),L49,IF(AND(C50="Cool",D50="Fast"),M49,IF(AND(C50="Warm",D50="Slow"),N49,O49)))</f>
        <v/>
      </c>
      <c r="H50" s="29">
        <f>IF(F50="Overheated",0,IF(F50="Cool",MAX(L49,M49),MAX(N49,O49)))</f>
        <v/>
      </c>
      <c r="I50" s="29">
        <f>E50+0.9*H50</f>
        <v/>
      </c>
      <c r="J50" s="29">
        <f>I50-G50</f>
        <v/>
      </c>
      <c r="K50" s="29">
        <f>G50+0.1*J50</f>
        <v/>
      </c>
      <c r="L50" s="29">
        <f>IF(AND(C50="Cool",D50="Slow"),K50,L49)</f>
        <v/>
      </c>
      <c r="M50" s="29">
        <f>IF(AND(C50="Cool",D50="Fast"),K50,M49)</f>
        <v/>
      </c>
      <c r="N50" s="29">
        <f>IF(AND(C50="Warm",D50="Slow"),K50,N49)</f>
        <v/>
      </c>
      <c r="O50" s="29">
        <f>IF(AND(C50="Warm",D50="Fast"),K50,O49)</f>
        <v/>
      </c>
    </row>
    <row r="51">
      <c r="A51" s="9" t="n">
        <v>45</v>
      </c>
      <c r="B51" s="9" t="n">
        <v>3</v>
      </c>
      <c r="C51" s="9" t="inlineStr">
        <is>
          <t>Warm</t>
        </is>
      </c>
      <c r="D51" s="9" t="inlineStr">
        <is>
          <t>Slow</t>
        </is>
      </c>
      <c r="E51" s="9" t="n">
        <v>1</v>
      </c>
      <c r="F51" s="9" t="inlineStr">
        <is>
          <t>Warm</t>
        </is>
      </c>
      <c r="G51" s="29">
        <f>IF(AND(C51="Cool",D51="Slow"),L50,IF(AND(C51="Cool",D51="Fast"),M50,IF(AND(C51="Warm",D51="Slow"),N50,O50)))</f>
        <v/>
      </c>
      <c r="H51" s="29">
        <f>IF(F51="Overheated",0,IF(F51="Cool",MAX(L50,M50),MAX(N50,O50)))</f>
        <v/>
      </c>
      <c r="I51" s="29">
        <f>E51+0.9*H51</f>
        <v/>
      </c>
      <c r="J51" s="29">
        <f>I51-G51</f>
        <v/>
      </c>
      <c r="K51" s="29">
        <f>G51+0.1*J51</f>
        <v/>
      </c>
      <c r="L51" s="29">
        <f>IF(AND(C51="Cool",D51="Slow"),K51,L50)</f>
        <v/>
      </c>
      <c r="M51" s="29">
        <f>IF(AND(C51="Cool",D51="Fast"),K51,M50)</f>
        <v/>
      </c>
      <c r="N51" s="29">
        <f>IF(AND(C51="Warm",D51="Slow"),K51,N50)</f>
        <v/>
      </c>
      <c r="O51" s="29">
        <f>IF(AND(C51="Warm",D51="Fast"),K51,O50)</f>
        <v/>
      </c>
    </row>
    <row r="52">
      <c r="A52" s="9" t="n">
        <v>46</v>
      </c>
      <c r="B52" s="9" t="n">
        <v>3</v>
      </c>
      <c r="C52" s="9" t="inlineStr">
        <is>
          <t>Warm</t>
        </is>
      </c>
      <c r="D52" s="9" t="inlineStr">
        <is>
          <t>Slow</t>
        </is>
      </c>
      <c r="E52" s="9" t="n">
        <v>1</v>
      </c>
      <c r="F52" s="9" t="inlineStr">
        <is>
          <t>Cool</t>
        </is>
      </c>
      <c r="G52" s="29">
        <f>IF(AND(C52="Cool",D52="Slow"),L51,IF(AND(C52="Cool",D52="Fast"),M51,IF(AND(C52="Warm",D52="Slow"),N51,O51)))</f>
        <v/>
      </c>
      <c r="H52" s="29">
        <f>IF(F52="Overheated",0,IF(F52="Cool",MAX(L51,M51),MAX(N51,O51)))</f>
        <v/>
      </c>
      <c r="I52" s="29">
        <f>E52+0.9*H52</f>
        <v/>
      </c>
      <c r="J52" s="29">
        <f>I52-G52</f>
        <v/>
      </c>
      <c r="K52" s="29">
        <f>G52+0.1*J52</f>
        <v/>
      </c>
      <c r="L52" s="29">
        <f>IF(AND(C52="Cool",D52="Slow"),K52,L51)</f>
        <v/>
      </c>
      <c r="M52" s="29">
        <f>IF(AND(C52="Cool",D52="Fast"),K52,M51)</f>
        <v/>
      </c>
      <c r="N52" s="29">
        <f>IF(AND(C52="Warm",D52="Slow"),K52,N51)</f>
        <v/>
      </c>
      <c r="O52" s="29">
        <f>IF(AND(C52="Warm",D52="Fast"),K52,O51)</f>
        <v/>
      </c>
    </row>
    <row r="53">
      <c r="A53" s="9" t="n">
        <v>47</v>
      </c>
      <c r="B53" s="9" t="n">
        <v>3</v>
      </c>
      <c r="C53" s="9" t="inlineStr">
        <is>
          <t>Cool</t>
        </is>
      </c>
      <c r="D53" s="9" t="inlineStr">
        <is>
          <t>Fast</t>
        </is>
      </c>
      <c r="E53" s="9" t="n">
        <v>2</v>
      </c>
      <c r="F53" s="9" t="inlineStr">
        <is>
          <t>Cool</t>
        </is>
      </c>
      <c r="G53" s="29">
        <f>IF(AND(C53="Cool",D53="Slow"),L52,IF(AND(C53="Cool",D53="Fast"),M52,IF(AND(C53="Warm",D53="Slow"),N52,O52)))</f>
        <v/>
      </c>
      <c r="H53" s="29">
        <f>IF(F53="Overheated",0,IF(F53="Cool",MAX(L52,M52),MAX(N52,O52)))</f>
        <v/>
      </c>
      <c r="I53" s="29">
        <f>E53+0.9*H53</f>
        <v/>
      </c>
      <c r="J53" s="29">
        <f>I53-G53</f>
        <v/>
      </c>
      <c r="K53" s="29">
        <f>G53+0.1*J53</f>
        <v/>
      </c>
      <c r="L53" s="29">
        <f>IF(AND(C53="Cool",D53="Slow"),K53,L52)</f>
        <v/>
      </c>
      <c r="M53" s="29">
        <f>IF(AND(C53="Cool",D53="Fast"),K53,M52)</f>
        <v/>
      </c>
      <c r="N53" s="29">
        <f>IF(AND(C53="Warm",D53="Slow"),K53,N52)</f>
        <v/>
      </c>
      <c r="O53" s="29">
        <f>IF(AND(C53="Warm",D53="Fast"),K53,O52)</f>
        <v/>
      </c>
    </row>
    <row r="54">
      <c r="A54" s="9" t="n">
        <v>48</v>
      </c>
      <c r="B54" s="9" t="n">
        <v>3</v>
      </c>
      <c r="C54" s="9" t="inlineStr">
        <is>
          <t>Cool</t>
        </is>
      </c>
      <c r="D54" s="9" t="inlineStr">
        <is>
          <t>Fast</t>
        </is>
      </c>
      <c r="E54" s="9" t="n">
        <v>2</v>
      </c>
      <c r="F54" s="9" t="inlineStr">
        <is>
          <t>Cool</t>
        </is>
      </c>
      <c r="G54" s="29">
        <f>IF(AND(C54="Cool",D54="Slow"),L53,IF(AND(C54="Cool",D54="Fast"),M53,IF(AND(C54="Warm",D54="Slow"),N53,O53)))</f>
        <v/>
      </c>
      <c r="H54" s="29">
        <f>IF(F54="Overheated",0,IF(F54="Cool",MAX(L53,M53),MAX(N53,O53)))</f>
        <v/>
      </c>
      <c r="I54" s="29">
        <f>E54+0.9*H54</f>
        <v/>
      </c>
      <c r="J54" s="29">
        <f>I54-G54</f>
        <v/>
      </c>
      <c r="K54" s="29">
        <f>G54+0.1*J54</f>
        <v/>
      </c>
      <c r="L54" s="29">
        <f>IF(AND(C54="Cool",D54="Slow"),K54,L53)</f>
        <v/>
      </c>
      <c r="M54" s="29">
        <f>IF(AND(C54="Cool",D54="Fast"),K54,M53)</f>
        <v/>
      </c>
      <c r="N54" s="29">
        <f>IF(AND(C54="Warm",D54="Slow"),K54,N53)</f>
        <v/>
      </c>
      <c r="O54" s="29">
        <f>IF(AND(C54="Warm",D54="Fast"),K54,O53)</f>
        <v/>
      </c>
    </row>
    <row r="55">
      <c r="A55" s="9" t="n">
        <v>49</v>
      </c>
      <c r="B55" s="9" t="n">
        <v>3</v>
      </c>
      <c r="C55" s="9" t="inlineStr">
        <is>
          <t>Cool</t>
        </is>
      </c>
      <c r="D55" s="9" t="inlineStr">
        <is>
          <t>Fast</t>
        </is>
      </c>
      <c r="E55" s="9" t="n">
        <v>2</v>
      </c>
      <c r="F55" s="9" t="inlineStr">
        <is>
          <t>Cool</t>
        </is>
      </c>
      <c r="G55" s="29">
        <f>IF(AND(C55="Cool",D55="Slow"),L54,IF(AND(C55="Cool",D55="Fast"),M54,IF(AND(C55="Warm",D55="Slow"),N54,O54)))</f>
        <v/>
      </c>
      <c r="H55" s="29">
        <f>IF(F55="Overheated",0,IF(F55="Cool",MAX(L54,M54),MAX(N54,O54)))</f>
        <v/>
      </c>
      <c r="I55" s="29">
        <f>E55+0.9*H55</f>
        <v/>
      </c>
      <c r="J55" s="29">
        <f>I55-G55</f>
        <v/>
      </c>
      <c r="K55" s="29">
        <f>G55+0.1*J55</f>
        <v/>
      </c>
      <c r="L55" s="29">
        <f>IF(AND(C55="Cool",D55="Slow"),K55,L54)</f>
        <v/>
      </c>
      <c r="M55" s="29">
        <f>IF(AND(C55="Cool",D55="Fast"),K55,M54)</f>
        <v/>
      </c>
      <c r="N55" s="29">
        <f>IF(AND(C55="Warm",D55="Slow"),K55,N54)</f>
        <v/>
      </c>
      <c r="O55" s="29">
        <f>IF(AND(C55="Warm",D55="Fast"),K55,O54)</f>
        <v/>
      </c>
    </row>
    <row r="56">
      <c r="A56" s="9" t="n">
        <v>50</v>
      </c>
      <c r="B56" s="9" t="n">
        <v>3</v>
      </c>
      <c r="C56" s="9" t="inlineStr">
        <is>
          <t>Cool</t>
        </is>
      </c>
      <c r="D56" s="9" t="inlineStr">
        <is>
          <t>Fast</t>
        </is>
      </c>
      <c r="E56" s="9" t="n">
        <v>2</v>
      </c>
      <c r="F56" s="9" t="inlineStr">
        <is>
          <t>Warm</t>
        </is>
      </c>
      <c r="G56" s="29">
        <f>IF(AND(C56="Cool",D56="Slow"),L55,IF(AND(C56="Cool",D56="Fast"),M55,IF(AND(C56="Warm",D56="Slow"),N55,O55)))</f>
        <v/>
      </c>
      <c r="H56" s="29">
        <f>IF(F56="Overheated",0,IF(F56="Cool",MAX(L55,M55),MAX(N55,O55)))</f>
        <v/>
      </c>
      <c r="I56" s="29">
        <f>E56+0.9*H56</f>
        <v/>
      </c>
      <c r="J56" s="29">
        <f>I56-G56</f>
        <v/>
      </c>
      <c r="K56" s="29">
        <f>G56+0.1*J56</f>
        <v/>
      </c>
      <c r="L56" s="29">
        <f>IF(AND(C56="Cool",D56="Slow"),K56,L55)</f>
        <v/>
      </c>
      <c r="M56" s="29">
        <f>IF(AND(C56="Cool",D56="Fast"),K56,M55)</f>
        <v/>
      </c>
      <c r="N56" s="29">
        <f>IF(AND(C56="Warm",D56="Slow"),K56,N55)</f>
        <v/>
      </c>
      <c r="O56" s="29">
        <f>IF(AND(C56="Warm",D56="Fast"),K56,O55)</f>
        <v/>
      </c>
    </row>
    <row r="57">
      <c r="A57" s="9" t="n">
        <v>51</v>
      </c>
      <c r="B57" s="9" t="n">
        <v>3</v>
      </c>
      <c r="C57" s="9" t="inlineStr">
        <is>
          <t>Warm</t>
        </is>
      </c>
      <c r="D57" s="9" t="inlineStr">
        <is>
          <t>Slow</t>
        </is>
      </c>
      <c r="E57" s="9" t="n">
        <v>1</v>
      </c>
      <c r="F57" s="9" t="inlineStr">
        <is>
          <t>Warm</t>
        </is>
      </c>
      <c r="G57" s="29">
        <f>IF(AND(C57="Cool",D57="Slow"),L56,IF(AND(C57="Cool",D57="Fast"),M56,IF(AND(C57="Warm",D57="Slow"),N56,O56)))</f>
        <v/>
      </c>
      <c r="H57" s="29">
        <f>IF(F57="Overheated",0,IF(F57="Cool",MAX(L56,M56),MAX(N56,O56)))</f>
        <v/>
      </c>
      <c r="I57" s="29">
        <f>E57+0.9*H57</f>
        <v/>
      </c>
      <c r="J57" s="29">
        <f>I57-G57</f>
        <v/>
      </c>
      <c r="K57" s="29">
        <f>G57+0.1*J57</f>
        <v/>
      </c>
      <c r="L57" s="29">
        <f>IF(AND(C57="Cool",D57="Slow"),K57,L56)</f>
        <v/>
      </c>
      <c r="M57" s="29">
        <f>IF(AND(C57="Cool",D57="Fast"),K57,M56)</f>
        <v/>
      </c>
      <c r="N57" s="29">
        <f>IF(AND(C57="Warm",D57="Slow"),K57,N56)</f>
        <v/>
      </c>
      <c r="O57" s="29">
        <f>IF(AND(C57="Warm",D57="Fast"),K57,O56)</f>
        <v/>
      </c>
    </row>
    <row r="58">
      <c r="A58" s="9" t="n">
        <v>52</v>
      </c>
      <c r="B58" s="9" t="n">
        <v>3</v>
      </c>
      <c r="C58" s="9" t="inlineStr">
        <is>
          <t>Warm</t>
        </is>
      </c>
      <c r="D58" s="9" t="inlineStr">
        <is>
          <t>Slow</t>
        </is>
      </c>
      <c r="E58" s="9" t="n">
        <v>1</v>
      </c>
      <c r="F58" s="9" t="inlineStr">
        <is>
          <t>Warm</t>
        </is>
      </c>
      <c r="G58" s="29">
        <f>IF(AND(C58="Cool",D58="Slow"),L57,IF(AND(C58="Cool",D58="Fast"),M57,IF(AND(C58="Warm",D58="Slow"),N57,O57)))</f>
        <v/>
      </c>
      <c r="H58" s="29">
        <f>IF(F58="Overheated",0,IF(F58="Cool",MAX(L57,M57),MAX(N57,O57)))</f>
        <v/>
      </c>
      <c r="I58" s="29">
        <f>E58+0.9*H58</f>
        <v/>
      </c>
      <c r="J58" s="29">
        <f>I58-G58</f>
        <v/>
      </c>
      <c r="K58" s="29">
        <f>G58+0.1*J58</f>
        <v/>
      </c>
      <c r="L58" s="29">
        <f>IF(AND(C58="Cool",D58="Slow"),K58,L57)</f>
        <v/>
      </c>
      <c r="M58" s="29">
        <f>IF(AND(C58="Cool",D58="Fast"),K58,M57)</f>
        <v/>
      </c>
      <c r="N58" s="29">
        <f>IF(AND(C58="Warm",D58="Slow"),K58,N57)</f>
        <v/>
      </c>
      <c r="O58" s="29">
        <f>IF(AND(C58="Warm",D58="Fast"),K58,O57)</f>
        <v/>
      </c>
    </row>
    <row r="59">
      <c r="A59" s="9" t="n">
        <v>53</v>
      </c>
      <c r="B59" s="9" t="n">
        <v>3</v>
      </c>
      <c r="C59" s="9" t="inlineStr">
        <is>
          <t>Warm</t>
        </is>
      </c>
      <c r="D59" s="9" t="inlineStr">
        <is>
          <t>Slow</t>
        </is>
      </c>
      <c r="E59" s="9" t="n">
        <v>1</v>
      </c>
      <c r="F59" s="9" t="inlineStr">
        <is>
          <t>Cool</t>
        </is>
      </c>
      <c r="G59" s="29">
        <f>IF(AND(C59="Cool",D59="Slow"),L58,IF(AND(C59="Cool",D59="Fast"),M58,IF(AND(C59="Warm",D59="Slow"),N58,O58)))</f>
        <v/>
      </c>
      <c r="H59" s="29">
        <f>IF(F59="Overheated",0,IF(F59="Cool",MAX(L58,M58),MAX(N58,O58)))</f>
        <v/>
      </c>
      <c r="I59" s="29">
        <f>E59+0.9*H59</f>
        <v/>
      </c>
      <c r="J59" s="29">
        <f>I59-G59</f>
        <v/>
      </c>
      <c r="K59" s="29">
        <f>G59+0.1*J59</f>
        <v/>
      </c>
      <c r="L59" s="29">
        <f>IF(AND(C59="Cool",D59="Slow"),K59,L58)</f>
        <v/>
      </c>
      <c r="M59" s="29">
        <f>IF(AND(C59="Cool",D59="Fast"),K59,M58)</f>
        <v/>
      </c>
      <c r="N59" s="29">
        <f>IF(AND(C59="Warm",D59="Slow"),K59,N58)</f>
        <v/>
      </c>
      <c r="O59" s="29">
        <f>IF(AND(C59="Warm",D59="Fast"),K59,O58)</f>
        <v/>
      </c>
    </row>
    <row r="60">
      <c r="A60" s="9" t="n">
        <v>54</v>
      </c>
      <c r="B60" s="9" t="n">
        <v>3</v>
      </c>
      <c r="C60" s="9" t="inlineStr">
        <is>
          <t>Cool</t>
        </is>
      </c>
      <c r="D60" s="9" t="inlineStr">
        <is>
          <t>Fast</t>
        </is>
      </c>
      <c r="E60" s="9" t="n">
        <v>2</v>
      </c>
      <c r="F60" s="9" t="inlineStr">
        <is>
          <t>Cool</t>
        </is>
      </c>
      <c r="G60" s="29">
        <f>IF(AND(C60="Cool",D60="Slow"),L59,IF(AND(C60="Cool",D60="Fast"),M59,IF(AND(C60="Warm",D60="Slow"),N59,O59)))</f>
        <v/>
      </c>
      <c r="H60" s="29">
        <f>IF(F60="Overheated",0,IF(F60="Cool",MAX(L59,M59),MAX(N59,O59)))</f>
        <v/>
      </c>
      <c r="I60" s="29">
        <f>E60+0.9*H60</f>
        <v/>
      </c>
      <c r="J60" s="29">
        <f>I60-G60</f>
        <v/>
      </c>
      <c r="K60" s="29">
        <f>G60+0.1*J60</f>
        <v/>
      </c>
      <c r="L60" s="29">
        <f>IF(AND(C60="Cool",D60="Slow"),K60,L59)</f>
        <v/>
      </c>
      <c r="M60" s="29">
        <f>IF(AND(C60="Cool",D60="Fast"),K60,M59)</f>
        <v/>
      </c>
      <c r="N60" s="29">
        <f>IF(AND(C60="Warm",D60="Slow"),K60,N59)</f>
        <v/>
      </c>
      <c r="O60" s="29">
        <f>IF(AND(C60="Warm",D60="Fast"),K60,O59)</f>
        <v/>
      </c>
    </row>
    <row r="61">
      <c r="A61" s="9" t="n">
        <v>55</v>
      </c>
      <c r="B61" s="9" t="n">
        <v>3</v>
      </c>
      <c r="C61" s="9" t="inlineStr">
        <is>
          <t>Cool</t>
        </is>
      </c>
      <c r="D61" s="9" t="inlineStr">
        <is>
          <t>Fast</t>
        </is>
      </c>
      <c r="E61" s="9" t="n">
        <v>2</v>
      </c>
      <c r="F61" s="9" t="inlineStr">
        <is>
          <t>Warm</t>
        </is>
      </c>
      <c r="G61" s="29">
        <f>IF(AND(C61="Cool",D61="Slow"),L60,IF(AND(C61="Cool",D61="Fast"),M60,IF(AND(C61="Warm",D61="Slow"),N60,O60)))</f>
        <v/>
      </c>
      <c r="H61" s="29">
        <f>IF(F61="Overheated",0,IF(F61="Cool",MAX(L60,M60),MAX(N60,O60)))</f>
        <v/>
      </c>
      <c r="I61" s="29">
        <f>E61+0.9*H61</f>
        <v/>
      </c>
      <c r="J61" s="29">
        <f>I61-G61</f>
        <v/>
      </c>
      <c r="K61" s="29">
        <f>G61+0.1*J61</f>
        <v/>
      </c>
      <c r="L61" s="29">
        <f>IF(AND(C61="Cool",D61="Slow"),K61,L60)</f>
        <v/>
      </c>
      <c r="M61" s="29">
        <f>IF(AND(C61="Cool",D61="Fast"),K61,M60)</f>
        <v/>
      </c>
      <c r="N61" s="29">
        <f>IF(AND(C61="Warm",D61="Slow"),K61,N60)</f>
        <v/>
      </c>
      <c r="O61" s="29">
        <f>IF(AND(C61="Warm",D61="Fast"),K61,O60)</f>
        <v/>
      </c>
    </row>
    <row r="62">
      <c r="A62" s="9" t="n">
        <v>56</v>
      </c>
      <c r="B62" s="9" t="n">
        <v>3</v>
      </c>
      <c r="C62" s="9" t="inlineStr">
        <is>
          <t>Warm</t>
        </is>
      </c>
      <c r="D62" s="9" t="inlineStr">
        <is>
          <t>Slow</t>
        </is>
      </c>
      <c r="E62" s="9" t="n">
        <v>1</v>
      </c>
      <c r="F62" s="9" t="inlineStr">
        <is>
          <t>Warm</t>
        </is>
      </c>
      <c r="G62" s="29">
        <f>IF(AND(C62="Cool",D62="Slow"),L61,IF(AND(C62="Cool",D62="Fast"),M61,IF(AND(C62="Warm",D62="Slow"),N61,O61)))</f>
        <v/>
      </c>
      <c r="H62" s="29">
        <f>IF(F62="Overheated",0,IF(F62="Cool",MAX(L61,M61),MAX(N61,O61)))</f>
        <v/>
      </c>
      <c r="I62" s="29">
        <f>E62+0.9*H62</f>
        <v/>
      </c>
      <c r="J62" s="29">
        <f>I62-G62</f>
        <v/>
      </c>
      <c r="K62" s="29">
        <f>G62+0.1*J62</f>
        <v/>
      </c>
      <c r="L62" s="29">
        <f>IF(AND(C62="Cool",D62="Slow"),K62,L61)</f>
        <v/>
      </c>
      <c r="M62" s="29">
        <f>IF(AND(C62="Cool",D62="Fast"),K62,M61)</f>
        <v/>
      </c>
      <c r="N62" s="29">
        <f>IF(AND(C62="Warm",D62="Slow"),K62,N61)</f>
        <v/>
      </c>
      <c r="O62" s="29">
        <f>IF(AND(C62="Warm",D62="Fast"),K62,O61)</f>
        <v/>
      </c>
    </row>
    <row r="63">
      <c r="A63" s="9" t="n">
        <v>57</v>
      </c>
      <c r="B63" s="9" t="n">
        <v>3</v>
      </c>
      <c r="C63" s="9" t="inlineStr">
        <is>
          <t>Warm</t>
        </is>
      </c>
      <c r="D63" s="9" t="inlineStr">
        <is>
          <t>Slow</t>
        </is>
      </c>
      <c r="E63" s="9" t="n">
        <v>1</v>
      </c>
      <c r="F63" s="9" t="inlineStr">
        <is>
          <t>Warm</t>
        </is>
      </c>
      <c r="G63" s="29">
        <f>IF(AND(C63="Cool",D63="Slow"),L62,IF(AND(C63="Cool",D63="Fast"),M62,IF(AND(C63="Warm",D63="Slow"),N62,O62)))</f>
        <v/>
      </c>
      <c r="H63" s="29">
        <f>IF(F63="Overheated",0,IF(F63="Cool",MAX(L62,M62),MAX(N62,O62)))</f>
        <v/>
      </c>
      <c r="I63" s="29">
        <f>E63+0.9*H63</f>
        <v/>
      </c>
      <c r="J63" s="29">
        <f>I63-G63</f>
        <v/>
      </c>
      <c r="K63" s="29">
        <f>G63+0.1*J63</f>
        <v/>
      </c>
      <c r="L63" s="29">
        <f>IF(AND(C63="Cool",D63="Slow"),K63,L62)</f>
        <v/>
      </c>
      <c r="M63" s="29">
        <f>IF(AND(C63="Cool",D63="Fast"),K63,M62)</f>
        <v/>
      </c>
      <c r="N63" s="29">
        <f>IF(AND(C63="Warm",D63="Slow"),K63,N62)</f>
        <v/>
      </c>
      <c r="O63" s="29">
        <f>IF(AND(C63="Warm",D63="Fast"),K63,O62)</f>
        <v/>
      </c>
    </row>
    <row r="64">
      <c r="A64" s="9" t="n">
        <v>58</v>
      </c>
      <c r="B64" s="9" t="n">
        <v>3</v>
      </c>
      <c r="C64" s="9" t="inlineStr">
        <is>
          <t>Warm</t>
        </is>
      </c>
      <c r="D64" s="9" t="inlineStr">
        <is>
          <t>Slow</t>
        </is>
      </c>
      <c r="E64" s="9" t="n">
        <v>1</v>
      </c>
      <c r="F64" s="9" t="inlineStr">
        <is>
          <t>Cool</t>
        </is>
      </c>
      <c r="G64" s="29">
        <f>IF(AND(C64="Cool",D64="Slow"),L63,IF(AND(C64="Cool",D64="Fast"),M63,IF(AND(C64="Warm",D64="Slow"),N63,O63)))</f>
        <v/>
      </c>
      <c r="H64" s="29">
        <f>IF(F64="Overheated",0,IF(F64="Cool",MAX(L63,M63),MAX(N63,O63)))</f>
        <v/>
      </c>
      <c r="I64" s="29">
        <f>E64+0.9*H64</f>
        <v/>
      </c>
      <c r="J64" s="29">
        <f>I64-G64</f>
        <v/>
      </c>
      <c r="K64" s="29">
        <f>G64+0.1*J64</f>
        <v/>
      </c>
      <c r="L64" s="29">
        <f>IF(AND(C64="Cool",D64="Slow"),K64,L63)</f>
        <v/>
      </c>
      <c r="M64" s="29">
        <f>IF(AND(C64="Cool",D64="Fast"),K64,M63)</f>
        <v/>
      </c>
      <c r="N64" s="29">
        <f>IF(AND(C64="Warm",D64="Slow"),K64,N63)</f>
        <v/>
      </c>
      <c r="O64" s="29">
        <f>IF(AND(C64="Warm",D64="Fast"),K64,O63)</f>
        <v/>
      </c>
    </row>
    <row r="65">
      <c r="A65" s="9" t="n">
        <v>59</v>
      </c>
      <c r="B65" s="9" t="n">
        <v>3</v>
      </c>
      <c r="C65" s="9" t="inlineStr">
        <is>
          <t>Cool</t>
        </is>
      </c>
      <c r="D65" s="9" t="inlineStr">
        <is>
          <t>Slow</t>
        </is>
      </c>
      <c r="E65" s="9" t="n">
        <v>1</v>
      </c>
      <c r="F65" s="9" t="inlineStr">
        <is>
          <t>Warm</t>
        </is>
      </c>
      <c r="G65" s="29">
        <f>IF(AND(C65="Cool",D65="Slow"),L64,IF(AND(C65="Cool",D65="Fast"),M64,IF(AND(C65="Warm",D65="Slow"),N64,O64)))</f>
        <v/>
      </c>
      <c r="H65" s="29">
        <f>IF(F65="Overheated",0,IF(F65="Cool",MAX(L64,M64),MAX(N64,O64)))</f>
        <v/>
      </c>
      <c r="I65" s="29">
        <f>E65+0.9*H65</f>
        <v/>
      </c>
      <c r="J65" s="29">
        <f>I65-G65</f>
        <v/>
      </c>
      <c r="K65" s="29">
        <f>G65+0.1*J65</f>
        <v/>
      </c>
      <c r="L65" s="29">
        <f>IF(AND(C65="Cool",D65="Slow"),K65,L64)</f>
        <v/>
      </c>
      <c r="M65" s="29">
        <f>IF(AND(C65="Cool",D65="Fast"),K65,M64)</f>
        <v/>
      </c>
      <c r="N65" s="29">
        <f>IF(AND(C65="Warm",D65="Slow"),K65,N64)</f>
        <v/>
      </c>
      <c r="O65" s="29">
        <f>IF(AND(C65="Warm",D65="Fast"),K65,O64)</f>
        <v/>
      </c>
    </row>
    <row r="66">
      <c r="A66" s="20" t="n">
        <v>60</v>
      </c>
      <c r="B66" s="20" t="n">
        <v>3</v>
      </c>
      <c r="C66" s="20" t="inlineStr">
        <is>
          <t>Warm</t>
        </is>
      </c>
      <c r="D66" s="20" t="inlineStr">
        <is>
          <t>Fast</t>
        </is>
      </c>
      <c r="E66" s="20" t="n">
        <v>-10</v>
      </c>
      <c r="F66" s="20" t="inlineStr">
        <is>
          <t>Overheated</t>
        </is>
      </c>
      <c r="G66" s="29">
        <f>IF(AND(C66="Cool",D66="Slow"),L65,IF(AND(C66="Cool",D66="Fast"),M65,IF(AND(C66="Warm",D66="Slow"),N65,O65)))</f>
        <v/>
      </c>
      <c r="H66" s="29">
        <f>IF(F66="Overheated",0,IF(F66="Cool",MAX(L65,M65),MAX(N65,O65)))</f>
        <v/>
      </c>
      <c r="I66" s="29">
        <f>E66+0.9*H66</f>
        <v/>
      </c>
      <c r="J66" s="29">
        <f>I66-G66</f>
        <v/>
      </c>
      <c r="K66" s="29">
        <f>G66+0.1*J66</f>
        <v/>
      </c>
      <c r="L66" s="29">
        <f>IF(AND(C66="Cool",D66="Slow"),K66,L65)</f>
        <v/>
      </c>
      <c r="M66" s="29">
        <f>IF(AND(C66="Cool",D66="Fast"),K66,M65)</f>
        <v/>
      </c>
      <c r="N66" s="29">
        <f>IF(AND(C66="Warm",D66="Slow"),K66,N65)</f>
        <v/>
      </c>
      <c r="O66" s="29">
        <f>IF(AND(C66="Warm",D66="Fast"),K66,O65)</f>
        <v/>
      </c>
    </row>
    <row r="67">
      <c r="A67" s="9" t="n">
        <v>61</v>
      </c>
      <c r="B67" s="9" t="n">
        <v>4</v>
      </c>
      <c r="C67" s="9" t="inlineStr">
        <is>
          <t>Cool</t>
        </is>
      </c>
      <c r="D67" s="9" t="inlineStr">
        <is>
          <t>Fast</t>
        </is>
      </c>
      <c r="E67" s="9" t="n">
        <v>2</v>
      </c>
      <c r="F67" s="9" t="inlineStr">
        <is>
          <t>Cool</t>
        </is>
      </c>
      <c r="G67" s="29">
        <f>IF(AND(C67="Cool",D67="Slow"),L66,IF(AND(C67="Cool",D67="Fast"),M66,IF(AND(C67="Warm",D67="Slow"),N66,O66)))</f>
        <v/>
      </c>
      <c r="H67" s="29">
        <f>IF(F67="Overheated",0,IF(F67="Cool",MAX(L66,M66),MAX(N66,O66)))</f>
        <v/>
      </c>
      <c r="I67" s="29">
        <f>E67+0.9*H67</f>
        <v/>
      </c>
      <c r="J67" s="29">
        <f>I67-G67</f>
        <v/>
      </c>
      <c r="K67" s="29">
        <f>G67+0.1*J67</f>
        <v/>
      </c>
      <c r="L67" s="29">
        <f>IF(AND(C67="Cool",D67="Slow"),K67,L66)</f>
        <v/>
      </c>
      <c r="M67" s="29">
        <f>IF(AND(C67="Cool",D67="Fast"),K67,M66)</f>
        <v/>
      </c>
      <c r="N67" s="29">
        <f>IF(AND(C67="Warm",D67="Slow"),K67,N66)</f>
        <v/>
      </c>
      <c r="O67" s="29">
        <f>IF(AND(C67="Warm",D67="Fast"),K67,O66)</f>
        <v/>
      </c>
    </row>
    <row r="68">
      <c r="A68" s="9" t="n">
        <v>62</v>
      </c>
      <c r="B68" s="9" t="n">
        <v>4</v>
      </c>
      <c r="C68" s="9" t="inlineStr">
        <is>
          <t>Cool</t>
        </is>
      </c>
      <c r="D68" s="9" t="inlineStr">
        <is>
          <t>Fast</t>
        </is>
      </c>
      <c r="E68" s="9" t="n">
        <v>2</v>
      </c>
      <c r="F68" s="9" t="inlineStr">
        <is>
          <t>Warm</t>
        </is>
      </c>
      <c r="G68" s="29">
        <f>IF(AND(C68="Cool",D68="Slow"),L67,IF(AND(C68="Cool",D68="Fast"),M67,IF(AND(C68="Warm",D68="Slow"),N67,O67)))</f>
        <v/>
      </c>
      <c r="H68" s="29">
        <f>IF(F68="Overheated",0,IF(F68="Cool",MAX(L67,M67),MAX(N67,O67)))</f>
        <v/>
      </c>
      <c r="I68" s="29">
        <f>E68+0.9*H68</f>
        <v/>
      </c>
      <c r="J68" s="29">
        <f>I68-G68</f>
        <v/>
      </c>
      <c r="K68" s="29">
        <f>G68+0.1*J68</f>
        <v/>
      </c>
      <c r="L68" s="29">
        <f>IF(AND(C68="Cool",D68="Slow"),K68,L67)</f>
        <v/>
      </c>
      <c r="M68" s="29">
        <f>IF(AND(C68="Cool",D68="Fast"),K68,M67)</f>
        <v/>
      </c>
      <c r="N68" s="29">
        <f>IF(AND(C68="Warm",D68="Slow"),K68,N67)</f>
        <v/>
      </c>
      <c r="O68" s="29">
        <f>IF(AND(C68="Warm",D68="Fast"),K68,O67)</f>
        <v/>
      </c>
    </row>
    <row r="69">
      <c r="A69" s="9" t="n">
        <v>63</v>
      </c>
      <c r="B69" s="9" t="n">
        <v>4</v>
      </c>
      <c r="C69" s="9" t="inlineStr">
        <is>
          <t>Warm</t>
        </is>
      </c>
      <c r="D69" s="9" t="inlineStr">
        <is>
          <t>Slow</t>
        </is>
      </c>
      <c r="E69" s="9" t="n">
        <v>1</v>
      </c>
      <c r="F69" s="9" t="inlineStr">
        <is>
          <t>Cool</t>
        </is>
      </c>
      <c r="G69" s="29">
        <f>IF(AND(C69="Cool",D69="Slow"),L68,IF(AND(C69="Cool",D69="Fast"),M68,IF(AND(C69="Warm",D69="Slow"),N68,O68)))</f>
        <v/>
      </c>
      <c r="H69" s="29">
        <f>IF(F69="Overheated",0,IF(F69="Cool",MAX(L68,M68),MAX(N68,O68)))</f>
        <v/>
      </c>
      <c r="I69" s="29">
        <f>E69+0.9*H69</f>
        <v/>
      </c>
      <c r="J69" s="29">
        <f>I69-G69</f>
        <v/>
      </c>
      <c r="K69" s="29">
        <f>G69+0.1*J69</f>
        <v/>
      </c>
      <c r="L69" s="29">
        <f>IF(AND(C69="Cool",D69="Slow"),K69,L68)</f>
        <v/>
      </c>
      <c r="M69" s="29">
        <f>IF(AND(C69="Cool",D69="Fast"),K69,M68)</f>
        <v/>
      </c>
      <c r="N69" s="29">
        <f>IF(AND(C69="Warm",D69="Slow"),K69,N68)</f>
        <v/>
      </c>
      <c r="O69" s="29">
        <f>IF(AND(C69="Warm",D69="Fast"),K69,O68)</f>
        <v/>
      </c>
    </row>
    <row r="70">
      <c r="A70" s="9" t="n">
        <v>64</v>
      </c>
      <c r="B70" s="9" t="n">
        <v>4</v>
      </c>
      <c r="C70" s="9" t="inlineStr">
        <is>
          <t>Cool</t>
        </is>
      </c>
      <c r="D70" s="9" t="inlineStr">
        <is>
          <t>Fast</t>
        </is>
      </c>
      <c r="E70" s="9" t="n">
        <v>2</v>
      </c>
      <c r="F70" s="9" t="inlineStr">
        <is>
          <t>Cool</t>
        </is>
      </c>
      <c r="G70" s="29">
        <f>IF(AND(C70="Cool",D70="Slow"),L69,IF(AND(C70="Cool",D70="Fast"),M69,IF(AND(C70="Warm",D70="Slow"),N69,O69)))</f>
        <v/>
      </c>
      <c r="H70" s="29">
        <f>IF(F70="Overheated",0,IF(F70="Cool",MAX(L69,M69),MAX(N69,O69)))</f>
        <v/>
      </c>
      <c r="I70" s="29">
        <f>E70+0.9*H70</f>
        <v/>
      </c>
      <c r="J70" s="29">
        <f>I70-G70</f>
        <v/>
      </c>
      <c r="K70" s="29">
        <f>G70+0.1*J70</f>
        <v/>
      </c>
      <c r="L70" s="29">
        <f>IF(AND(C70="Cool",D70="Slow"),K70,L69)</f>
        <v/>
      </c>
      <c r="M70" s="29">
        <f>IF(AND(C70="Cool",D70="Fast"),K70,M69)</f>
        <v/>
      </c>
      <c r="N70" s="29">
        <f>IF(AND(C70="Warm",D70="Slow"),K70,N69)</f>
        <v/>
      </c>
      <c r="O70" s="29">
        <f>IF(AND(C70="Warm",D70="Fast"),K70,O69)</f>
        <v/>
      </c>
    </row>
    <row r="71">
      <c r="A71" s="9" t="n">
        <v>65</v>
      </c>
      <c r="B71" s="9" t="n">
        <v>4</v>
      </c>
      <c r="C71" s="9" t="inlineStr">
        <is>
          <t>Cool</t>
        </is>
      </c>
      <c r="D71" s="9" t="inlineStr">
        <is>
          <t>Fast</t>
        </is>
      </c>
      <c r="E71" s="9" t="n">
        <v>2</v>
      </c>
      <c r="F71" s="9" t="inlineStr">
        <is>
          <t>Cool</t>
        </is>
      </c>
      <c r="G71" s="29">
        <f>IF(AND(C71="Cool",D71="Slow"),L70,IF(AND(C71="Cool",D71="Fast"),M70,IF(AND(C71="Warm",D71="Slow"),N70,O70)))</f>
        <v/>
      </c>
      <c r="H71" s="29">
        <f>IF(F71="Overheated",0,IF(F71="Cool",MAX(L70,M70),MAX(N70,O70)))</f>
        <v/>
      </c>
      <c r="I71" s="29">
        <f>E71+0.9*H71</f>
        <v/>
      </c>
      <c r="J71" s="29">
        <f>I71-G71</f>
        <v/>
      </c>
      <c r="K71" s="29">
        <f>G71+0.1*J71</f>
        <v/>
      </c>
      <c r="L71" s="29">
        <f>IF(AND(C71="Cool",D71="Slow"),K71,L70)</f>
        <v/>
      </c>
      <c r="M71" s="29">
        <f>IF(AND(C71="Cool",D71="Fast"),K71,M70)</f>
        <v/>
      </c>
      <c r="N71" s="29">
        <f>IF(AND(C71="Warm",D71="Slow"),K71,N70)</f>
        <v/>
      </c>
      <c r="O71" s="29">
        <f>IF(AND(C71="Warm",D71="Fast"),K71,O70)</f>
        <v/>
      </c>
    </row>
    <row r="72">
      <c r="A72" s="9" t="n">
        <v>66</v>
      </c>
      <c r="B72" s="9" t="n">
        <v>4</v>
      </c>
      <c r="C72" s="9" t="inlineStr">
        <is>
          <t>Cool</t>
        </is>
      </c>
      <c r="D72" s="9" t="inlineStr">
        <is>
          <t>Fast</t>
        </is>
      </c>
      <c r="E72" s="9" t="n">
        <v>2</v>
      </c>
      <c r="F72" s="9" t="inlineStr">
        <is>
          <t>Warm</t>
        </is>
      </c>
      <c r="G72" s="29">
        <f>IF(AND(C72="Cool",D72="Slow"),L71,IF(AND(C72="Cool",D72="Fast"),M71,IF(AND(C72="Warm",D72="Slow"),N71,O71)))</f>
        <v/>
      </c>
      <c r="H72" s="29">
        <f>IF(F72="Overheated",0,IF(F72="Cool",MAX(L71,M71),MAX(N71,O71)))</f>
        <v/>
      </c>
      <c r="I72" s="29">
        <f>E72+0.9*H72</f>
        <v/>
      </c>
      <c r="J72" s="29">
        <f>I72-G72</f>
        <v/>
      </c>
      <c r="K72" s="29">
        <f>G72+0.1*J72</f>
        <v/>
      </c>
      <c r="L72" s="29">
        <f>IF(AND(C72="Cool",D72="Slow"),K72,L71)</f>
        <v/>
      </c>
      <c r="M72" s="29">
        <f>IF(AND(C72="Cool",D72="Fast"),K72,M71)</f>
        <v/>
      </c>
      <c r="N72" s="29">
        <f>IF(AND(C72="Warm",D72="Slow"),K72,N71)</f>
        <v/>
      </c>
      <c r="O72" s="29">
        <f>IF(AND(C72="Warm",D72="Fast"),K72,O71)</f>
        <v/>
      </c>
    </row>
    <row r="73">
      <c r="A73" s="9" t="n">
        <v>67</v>
      </c>
      <c r="B73" s="9" t="n">
        <v>4</v>
      </c>
      <c r="C73" s="9" t="inlineStr">
        <is>
          <t>Warm</t>
        </is>
      </c>
      <c r="D73" s="9" t="inlineStr">
        <is>
          <t>Slow</t>
        </is>
      </c>
      <c r="E73" s="9" t="n">
        <v>1</v>
      </c>
      <c r="F73" s="9" t="inlineStr">
        <is>
          <t>Warm</t>
        </is>
      </c>
      <c r="G73" s="29">
        <f>IF(AND(C73="Cool",D73="Slow"),L72,IF(AND(C73="Cool",D73="Fast"),M72,IF(AND(C73="Warm",D73="Slow"),N72,O72)))</f>
        <v/>
      </c>
      <c r="H73" s="29">
        <f>IF(F73="Overheated",0,IF(F73="Cool",MAX(L72,M72),MAX(N72,O72)))</f>
        <v/>
      </c>
      <c r="I73" s="29">
        <f>E73+0.9*H73</f>
        <v/>
      </c>
      <c r="J73" s="29">
        <f>I73-G73</f>
        <v/>
      </c>
      <c r="K73" s="29">
        <f>G73+0.1*J73</f>
        <v/>
      </c>
      <c r="L73" s="29">
        <f>IF(AND(C73="Cool",D73="Slow"),K73,L72)</f>
        <v/>
      </c>
      <c r="M73" s="29">
        <f>IF(AND(C73="Cool",D73="Fast"),K73,M72)</f>
        <v/>
      </c>
      <c r="N73" s="29">
        <f>IF(AND(C73="Warm",D73="Slow"),K73,N72)</f>
        <v/>
      </c>
      <c r="O73" s="29">
        <f>IF(AND(C73="Warm",D73="Fast"),K73,O72)</f>
        <v/>
      </c>
    </row>
    <row r="74">
      <c r="A74" s="9" t="n">
        <v>68</v>
      </c>
      <c r="B74" s="9" t="n">
        <v>4</v>
      </c>
      <c r="C74" s="9" t="inlineStr">
        <is>
          <t>Warm</t>
        </is>
      </c>
      <c r="D74" s="9" t="inlineStr">
        <is>
          <t>Slow</t>
        </is>
      </c>
      <c r="E74" s="9" t="n">
        <v>1</v>
      </c>
      <c r="F74" s="9" t="inlineStr">
        <is>
          <t>Warm</t>
        </is>
      </c>
      <c r="G74" s="29">
        <f>IF(AND(C74="Cool",D74="Slow"),L73,IF(AND(C74="Cool",D74="Fast"),M73,IF(AND(C74="Warm",D74="Slow"),N73,O73)))</f>
        <v/>
      </c>
      <c r="H74" s="29">
        <f>IF(F74="Overheated",0,IF(F74="Cool",MAX(L73,M73),MAX(N73,O73)))</f>
        <v/>
      </c>
      <c r="I74" s="29">
        <f>E74+0.9*H74</f>
        <v/>
      </c>
      <c r="J74" s="29">
        <f>I74-G74</f>
        <v/>
      </c>
      <c r="K74" s="29">
        <f>G74+0.1*J74</f>
        <v/>
      </c>
      <c r="L74" s="29">
        <f>IF(AND(C74="Cool",D74="Slow"),K74,L73)</f>
        <v/>
      </c>
      <c r="M74" s="29">
        <f>IF(AND(C74="Cool",D74="Fast"),K74,M73)</f>
        <v/>
      </c>
      <c r="N74" s="29">
        <f>IF(AND(C74="Warm",D74="Slow"),K74,N73)</f>
        <v/>
      </c>
      <c r="O74" s="29">
        <f>IF(AND(C74="Warm",D74="Fast"),K74,O73)</f>
        <v/>
      </c>
    </row>
    <row r="75">
      <c r="A75" s="9" t="n">
        <v>69</v>
      </c>
      <c r="B75" s="9" t="n">
        <v>4</v>
      </c>
      <c r="C75" s="9" t="inlineStr">
        <is>
          <t>Warm</t>
        </is>
      </c>
      <c r="D75" s="9" t="inlineStr">
        <is>
          <t>Slow</t>
        </is>
      </c>
      <c r="E75" s="9" t="n">
        <v>1</v>
      </c>
      <c r="F75" s="9" t="inlineStr">
        <is>
          <t>Cool</t>
        </is>
      </c>
      <c r="G75" s="29">
        <f>IF(AND(C75="Cool",D75="Slow"),L74,IF(AND(C75="Cool",D75="Fast"),M74,IF(AND(C75="Warm",D75="Slow"),N74,O74)))</f>
        <v/>
      </c>
      <c r="H75" s="29">
        <f>IF(F75="Overheated",0,IF(F75="Cool",MAX(L74,M74),MAX(N74,O74)))</f>
        <v/>
      </c>
      <c r="I75" s="29">
        <f>E75+0.9*H75</f>
        <v/>
      </c>
      <c r="J75" s="29">
        <f>I75-G75</f>
        <v/>
      </c>
      <c r="K75" s="29">
        <f>G75+0.1*J75</f>
        <v/>
      </c>
      <c r="L75" s="29">
        <f>IF(AND(C75="Cool",D75="Slow"),K75,L74)</f>
        <v/>
      </c>
      <c r="M75" s="29">
        <f>IF(AND(C75="Cool",D75="Fast"),K75,M74)</f>
        <v/>
      </c>
      <c r="N75" s="29">
        <f>IF(AND(C75="Warm",D75="Slow"),K75,N74)</f>
        <v/>
      </c>
      <c r="O75" s="29">
        <f>IF(AND(C75="Warm",D75="Fast"),K75,O74)</f>
        <v/>
      </c>
    </row>
    <row r="76">
      <c r="A76" s="9" t="n">
        <v>70</v>
      </c>
      <c r="B76" s="9" t="n">
        <v>4</v>
      </c>
      <c r="C76" s="9" t="inlineStr">
        <is>
          <t>Cool</t>
        </is>
      </c>
      <c r="D76" s="9" t="inlineStr">
        <is>
          <t>Fast</t>
        </is>
      </c>
      <c r="E76" s="9" t="n">
        <v>2</v>
      </c>
      <c r="F76" s="9" t="inlineStr">
        <is>
          <t>Cool</t>
        </is>
      </c>
      <c r="G76" s="29">
        <f>IF(AND(C76="Cool",D76="Slow"),L75,IF(AND(C76="Cool",D76="Fast"),M75,IF(AND(C76="Warm",D76="Slow"),N75,O75)))</f>
        <v/>
      </c>
      <c r="H76" s="29">
        <f>IF(F76="Overheated",0,IF(F76="Cool",MAX(L75,M75),MAX(N75,O75)))</f>
        <v/>
      </c>
      <c r="I76" s="29">
        <f>E76+0.9*H76</f>
        <v/>
      </c>
      <c r="J76" s="29">
        <f>I76-G76</f>
        <v/>
      </c>
      <c r="K76" s="29">
        <f>G76+0.1*J76</f>
        <v/>
      </c>
      <c r="L76" s="29">
        <f>IF(AND(C76="Cool",D76="Slow"),K76,L75)</f>
        <v/>
      </c>
      <c r="M76" s="29">
        <f>IF(AND(C76="Cool",D76="Fast"),K76,M75)</f>
        <v/>
      </c>
      <c r="N76" s="29">
        <f>IF(AND(C76="Warm",D76="Slow"),K76,N75)</f>
        <v/>
      </c>
      <c r="O76" s="29">
        <f>IF(AND(C76="Warm",D76="Fast"),K76,O75)</f>
        <v/>
      </c>
    </row>
    <row r="77">
      <c r="A77" s="9" t="n">
        <v>71</v>
      </c>
      <c r="B77" s="9" t="n">
        <v>4</v>
      </c>
      <c r="C77" s="9" t="inlineStr">
        <is>
          <t>Cool</t>
        </is>
      </c>
      <c r="D77" s="9" t="inlineStr">
        <is>
          <t>Fast</t>
        </is>
      </c>
      <c r="E77" s="9" t="n">
        <v>2</v>
      </c>
      <c r="F77" s="9" t="inlineStr">
        <is>
          <t>Warm</t>
        </is>
      </c>
      <c r="G77" s="29">
        <f>IF(AND(C77="Cool",D77="Slow"),L76,IF(AND(C77="Cool",D77="Fast"),M76,IF(AND(C77="Warm",D77="Slow"),N76,O76)))</f>
        <v/>
      </c>
      <c r="H77" s="29">
        <f>IF(F77="Overheated",0,IF(F77="Cool",MAX(L76,M76),MAX(N76,O76)))</f>
        <v/>
      </c>
      <c r="I77" s="29">
        <f>E77+0.9*H77</f>
        <v/>
      </c>
      <c r="J77" s="29">
        <f>I77-G77</f>
        <v/>
      </c>
      <c r="K77" s="29">
        <f>G77+0.1*J77</f>
        <v/>
      </c>
      <c r="L77" s="29">
        <f>IF(AND(C77="Cool",D77="Slow"),K77,L76)</f>
        <v/>
      </c>
      <c r="M77" s="29">
        <f>IF(AND(C77="Cool",D77="Fast"),K77,M76)</f>
        <v/>
      </c>
      <c r="N77" s="29">
        <f>IF(AND(C77="Warm",D77="Slow"),K77,N76)</f>
        <v/>
      </c>
      <c r="O77" s="29">
        <f>IF(AND(C77="Warm",D77="Fast"),K77,O76)</f>
        <v/>
      </c>
    </row>
    <row r="78">
      <c r="A78" s="9" t="n">
        <v>72</v>
      </c>
      <c r="B78" s="9" t="n">
        <v>4</v>
      </c>
      <c r="C78" s="9" t="inlineStr">
        <is>
          <t>Warm</t>
        </is>
      </c>
      <c r="D78" s="9" t="inlineStr">
        <is>
          <t>Slow</t>
        </is>
      </c>
      <c r="E78" s="9" t="n">
        <v>1</v>
      </c>
      <c r="F78" s="9" t="inlineStr">
        <is>
          <t>Cool</t>
        </is>
      </c>
      <c r="G78" s="29">
        <f>IF(AND(C78="Cool",D78="Slow"),L77,IF(AND(C78="Cool",D78="Fast"),M77,IF(AND(C78="Warm",D78="Slow"),N77,O77)))</f>
        <v/>
      </c>
      <c r="H78" s="29">
        <f>IF(F78="Overheated",0,IF(F78="Cool",MAX(L77,M77),MAX(N77,O77)))</f>
        <v/>
      </c>
      <c r="I78" s="29">
        <f>E78+0.9*H78</f>
        <v/>
      </c>
      <c r="J78" s="29">
        <f>I78-G78</f>
        <v/>
      </c>
      <c r="K78" s="29">
        <f>G78+0.1*J78</f>
        <v/>
      </c>
      <c r="L78" s="29">
        <f>IF(AND(C78="Cool",D78="Slow"),K78,L77)</f>
        <v/>
      </c>
      <c r="M78" s="29">
        <f>IF(AND(C78="Cool",D78="Fast"),K78,M77)</f>
        <v/>
      </c>
      <c r="N78" s="29">
        <f>IF(AND(C78="Warm",D78="Slow"),K78,N77)</f>
        <v/>
      </c>
      <c r="O78" s="29">
        <f>IF(AND(C78="Warm",D78="Fast"),K78,O77)</f>
        <v/>
      </c>
    </row>
    <row r="79">
      <c r="A79" s="9" t="n">
        <v>73</v>
      </c>
      <c r="B79" s="9" t="n">
        <v>4</v>
      </c>
      <c r="C79" s="9" t="inlineStr">
        <is>
          <t>Cool</t>
        </is>
      </c>
      <c r="D79" s="9" t="inlineStr">
        <is>
          <t>Fast</t>
        </is>
      </c>
      <c r="E79" s="9" t="n">
        <v>2</v>
      </c>
      <c r="F79" s="9" t="inlineStr">
        <is>
          <t>Warm</t>
        </is>
      </c>
      <c r="G79" s="29">
        <f>IF(AND(C79="Cool",D79="Slow"),L78,IF(AND(C79="Cool",D79="Fast"),M78,IF(AND(C79="Warm",D79="Slow"),N78,O78)))</f>
        <v/>
      </c>
      <c r="H79" s="29">
        <f>IF(F79="Overheated",0,IF(F79="Cool",MAX(L78,M78),MAX(N78,O78)))</f>
        <v/>
      </c>
      <c r="I79" s="29">
        <f>E79+0.9*H79</f>
        <v/>
      </c>
      <c r="J79" s="29">
        <f>I79-G79</f>
        <v/>
      </c>
      <c r="K79" s="29">
        <f>G79+0.1*J79</f>
        <v/>
      </c>
      <c r="L79" s="29">
        <f>IF(AND(C79="Cool",D79="Slow"),K79,L78)</f>
        <v/>
      </c>
      <c r="M79" s="29">
        <f>IF(AND(C79="Cool",D79="Fast"),K79,M78)</f>
        <v/>
      </c>
      <c r="N79" s="29">
        <f>IF(AND(C79="Warm",D79="Slow"),K79,N78)</f>
        <v/>
      </c>
      <c r="O79" s="29">
        <f>IF(AND(C79="Warm",D79="Fast"),K79,O78)</f>
        <v/>
      </c>
    </row>
    <row r="80">
      <c r="A80" s="20" t="n">
        <v>74</v>
      </c>
      <c r="B80" s="20" t="n">
        <v>4</v>
      </c>
      <c r="C80" s="20" t="inlineStr">
        <is>
          <t>Warm</t>
        </is>
      </c>
      <c r="D80" s="20" t="inlineStr">
        <is>
          <t>Fast</t>
        </is>
      </c>
      <c r="E80" s="20" t="n">
        <v>-10</v>
      </c>
      <c r="F80" s="20" t="inlineStr">
        <is>
          <t>Overheated</t>
        </is>
      </c>
      <c r="G80" s="29">
        <f>IF(AND(C80="Cool",D80="Slow"),L79,IF(AND(C80="Cool",D80="Fast"),M79,IF(AND(C80="Warm",D80="Slow"),N79,O79)))</f>
        <v/>
      </c>
      <c r="H80" s="29">
        <f>IF(F80="Overheated",0,IF(F80="Cool",MAX(L79,M79),MAX(N79,O79)))</f>
        <v/>
      </c>
      <c r="I80" s="29">
        <f>E80+0.9*H80</f>
        <v/>
      </c>
      <c r="J80" s="29">
        <f>I80-G80</f>
        <v/>
      </c>
      <c r="K80" s="29">
        <f>G80+0.1*J80</f>
        <v/>
      </c>
      <c r="L80" s="29">
        <f>IF(AND(C80="Cool",D80="Slow"),K80,L79)</f>
        <v/>
      </c>
      <c r="M80" s="29">
        <f>IF(AND(C80="Cool",D80="Fast"),K80,M79)</f>
        <v/>
      </c>
      <c r="N80" s="29">
        <f>IF(AND(C80="Warm",D80="Slow"),K80,N79)</f>
        <v/>
      </c>
      <c r="O80" s="29">
        <f>IF(AND(C80="Warm",D80="Fast"),K80,O79)</f>
        <v/>
      </c>
    </row>
    <row r="81">
      <c r="A81" s="9" t="n">
        <v>75</v>
      </c>
      <c r="B81" s="9" t="n">
        <v>5</v>
      </c>
      <c r="C81" s="9" t="inlineStr">
        <is>
          <t>Cool</t>
        </is>
      </c>
      <c r="D81" s="9" t="inlineStr">
        <is>
          <t>Fast</t>
        </is>
      </c>
      <c r="E81" s="9" t="n">
        <v>2</v>
      </c>
      <c r="F81" s="9" t="inlineStr">
        <is>
          <t>Warm</t>
        </is>
      </c>
      <c r="G81" s="29">
        <f>IF(AND(C81="Cool",D81="Slow"),L80,IF(AND(C81="Cool",D81="Fast"),M80,IF(AND(C81="Warm",D81="Slow"),N80,O80)))</f>
        <v/>
      </c>
      <c r="H81" s="29">
        <f>IF(F81="Overheated",0,IF(F81="Cool",MAX(L80,M80),MAX(N80,O80)))</f>
        <v/>
      </c>
      <c r="I81" s="29">
        <f>E81+0.9*H81</f>
        <v/>
      </c>
      <c r="J81" s="29">
        <f>I81-G81</f>
        <v/>
      </c>
      <c r="K81" s="29">
        <f>G81+0.1*J81</f>
        <v/>
      </c>
      <c r="L81" s="29">
        <f>IF(AND(C81="Cool",D81="Slow"),K81,L80)</f>
        <v/>
      </c>
      <c r="M81" s="29">
        <f>IF(AND(C81="Cool",D81="Fast"),K81,M80)</f>
        <v/>
      </c>
      <c r="N81" s="29">
        <f>IF(AND(C81="Warm",D81="Slow"),K81,N80)</f>
        <v/>
      </c>
      <c r="O81" s="29">
        <f>IF(AND(C81="Warm",D81="Fast"),K81,O80)</f>
        <v/>
      </c>
    </row>
    <row r="82">
      <c r="A82" s="20" t="n">
        <v>76</v>
      </c>
      <c r="B82" s="20" t="n">
        <v>5</v>
      </c>
      <c r="C82" s="20" t="inlineStr">
        <is>
          <t>Warm</t>
        </is>
      </c>
      <c r="D82" s="20" t="inlineStr">
        <is>
          <t>Fast</t>
        </is>
      </c>
      <c r="E82" s="20" t="n">
        <v>-10</v>
      </c>
      <c r="F82" s="20" t="inlineStr">
        <is>
          <t>Overheated</t>
        </is>
      </c>
      <c r="G82" s="29">
        <f>IF(AND(C82="Cool",D82="Slow"),L81,IF(AND(C82="Cool",D82="Fast"),M81,IF(AND(C82="Warm",D82="Slow"),N81,O81)))</f>
        <v/>
      </c>
      <c r="H82" s="29">
        <f>IF(F82="Overheated",0,IF(F82="Cool",MAX(L81,M81),MAX(N81,O81)))</f>
        <v/>
      </c>
      <c r="I82" s="29">
        <f>E82+0.9*H82</f>
        <v/>
      </c>
      <c r="J82" s="29">
        <f>I82-G82</f>
        <v/>
      </c>
      <c r="K82" s="29">
        <f>G82+0.1*J82</f>
        <v/>
      </c>
      <c r="L82" s="29">
        <f>IF(AND(C82="Cool",D82="Slow"),K82,L81)</f>
        <v/>
      </c>
      <c r="M82" s="29">
        <f>IF(AND(C82="Cool",D82="Fast"),K82,M81)</f>
        <v/>
      </c>
      <c r="N82" s="29">
        <f>IF(AND(C82="Warm",D82="Slow"),K82,N81)</f>
        <v/>
      </c>
      <c r="O82" s="29">
        <f>IF(AND(C82="Warm",D82="Fast"),K82,O81)</f>
        <v/>
      </c>
    </row>
    <row r="83"/>
    <row r="84">
      <c r="A84" s="2" t="inlineStr">
        <is>
          <t>Final Q^QLearning(s,a)</t>
        </is>
      </c>
    </row>
    <row r="85">
      <c r="A85" s="6" t="inlineStr">
        <is>
          <t>State\Action</t>
        </is>
      </c>
      <c r="B85" s="6" t="inlineStr">
        <is>
          <t>Slow ✱</t>
        </is>
      </c>
      <c r="C85" s="6" t="inlineStr">
        <is>
          <t>Fast ✱</t>
        </is>
      </c>
    </row>
    <row r="86">
      <c r="A86" s="9" t="inlineStr">
        <is>
          <t>Cool</t>
        </is>
      </c>
      <c r="B86" s="29">
        <f>L82</f>
        <v/>
      </c>
      <c r="C86" s="29">
        <f>M82</f>
        <v/>
      </c>
    </row>
    <row r="87">
      <c r="A87" s="9" t="inlineStr">
        <is>
          <t>Warm</t>
        </is>
      </c>
      <c r="B87" s="29">
        <f>N82</f>
        <v/>
      </c>
      <c r="C87" s="29">
        <f>O82</f>
        <v/>
      </c>
    </row>
    <row r="88">
      <c r="A88" s="20" t="inlineStr">
        <is>
          <t>Overheated</t>
        </is>
      </c>
      <c r="B88" s="20" t="n">
        <v>0</v>
      </c>
      <c r="C88" s="20" t="n">
        <v>0</v>
      </c>
    </row>
    <row r="89"/>
    <row r="90">
      <c r="A90" s="2" t="inlineStr">
        <is>
          <t>Greedy Policy from Q-Learning</t>
        </is>
      </c>
    </row>
    <row r="91">
      <c r="A91" s="6" t="inlineStr">
        <is>
          <t>State</t>
        </is>
      </c>
      <c r="B91" s="6" t="inlineStr">
        <is>
          <t>π*(s) ✱</t>
        </is>
      </c>
      <c r="C91" s="6" t="inlineStr">
        <is>
          <t>V*(s) = max Q ✱</t>
        </is>
      </c>
    </row>
    <row r="92">
      <c r="A92" s="7" t="inlineStr">
        <is>
          <t>Cool</t>
        </is>
      </c>
      <c r="B92" s="29">
        <f>IF(C86&gt;=B86,"Fast","Slow")</f>
        <v/>
      </c>
      <c r="C92" s="29">
        <f>MAX(B86,C86)</f>
        <v/>
      </c>
    </row>
    <row r="93">
      <c r="A93" s="7" t="inlineStr">
        <is>
          <t>Warm</t>
        </is>
      </c>
      <c r="B93" s="29">
        <f>IF(C87&gt;=B87,"Fast","Slow")</f>
        <v/>
      </c>
      <c r="C93" s="29">
        <f>MAX(B87,C87)</f>
        <v/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2026-04-24T15:13:34Z</dcterms:created>
  <dcterms:modified xsi:type="dcterms:W3CDTF">2026-04-24T15:13:34Z</dcterms:modified>
</cp:coreProperties>
</file>