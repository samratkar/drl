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rat.kar/git/drl/barto-sutton-notes/lecture3-2026-05-09-mdp-dp/assets/questions/solutions/"/>
    </mc:Choice>
  </mc:AlternateContent>
  <xr:revisionPtr revIDLastSave="0" documentId="13_ncr:1_{DF23D55F-A4F6-5247-B323-D8EB0BD5127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  <sheet name="Bellman Equations Explai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E50" i="1"/>
  <c r="C50" i="1"/>
  <c r="D49" i="1"/>
  <c r="K47" i="1" s="1"/>
  <c r="D32" i="1"/>
  <c r="E31" i="1"/>
  <c r="C31" i="1"/>
  <c r="D30" i="1"/>
  <c r="D20" i="1"/>
  <c r="E19" i="1"/>
  <c r="C19" i="1"/>
  <c r="D18" i="1"/>
  <c r="C8" i="1"/>
</calcChain>
</file>

<file path=xl/sharedStrings.xml><?xml version="1.0" encoding="utf-8"?>
<sst xmlns="http://schemas.openxmlformats.org/spreadsheetml/2006/main" count="262" uniqueCount="195">
  <si>
    <t>question</t>
  </si>
  <si>
    <t>V(s')</t>
  </si>
  <si>
    <t>¶(a|s)</t>
  </si>
  <si>
    <t>P(s', r | s, a)</t>
  </si>
  <si>
    <t>𝛄</t>
  </si>
  <si>
    <t>s</t>
  </si>
  <si>
    <t>v(s) = sigma(p*pi*(R + gamma V(s')))</t>
  </si>
  <si>
    <t>v(s) =</t>
  </si>
  <si>
    <t>P(s' , r | s, a)</t>
  </si>
  <si>
    <t>N/A</t>
  </si>
  <si>
    <t>q(s,a) = sigma(p*(R + gamma(V(s')))</t>
  </si>
  <si>
    <t>q(s,a)</t>
  </si>
  <si>
    <t>7a</t>
  </si>
  <si>
    <t>7b</t>
  </si>
  <si>
    <t>Stochastic with ACTION-SPECIFIC transition probabilities</t>
  </si>
  <si>
    <t>P(s'|s,a) is now a TABLE: each action has its own probability distribution over next states</t>
  </si>
  <si>
    <t>P table needs |A| rows × |S' | columns (or equivalently, one P-grid per action)</t>
  </si>
  <si>
    <t>γ =</t>
  </si>
  <si>
    <t>P(s'|s,a) TABLE — one row per action, one column per next-state:</t>
  </si>
  <si>
    <t>Action taken</t>
  </si>
  <si>
    <t>Sum</t>
  </si>
  <si>
    <t>UP</t>
  </si>
  <si>
    <t>LEFT</t>
  </si>
  <si>
    <t>RIGHT</t>
  </si>
  <si>
    <t>DOWN</t>
  </si>
  <si>
    <t>q(s,a) = Σ P(s'|s,a) · [r(s,a→s') + γ · V(s')]</t>
  </si>
  <si>
    <t>v(s) = 0.25 × [q(s,up) + q(s,left) + q(s,right) + q(s,down)]</t>
  </si>
  <si>
    <t>Key: each action row in P-table sums to 1.0, but distributions DIFFER per action</t>
  </si>
  <si>
    <t>→ This is why q(s,a) is now DIFFERENT for each action!</t>
  </si>
  <si>
    <t>Bellman Equations — Complete Reference</t>
  </si>
  <si>
    <t>1. KEY CONCEPTS</t>
  </si>
  <si>
    <t>Symbol</t>
  </si>
  <si>
    <t>Name</t>
  </si>
  <si>
    <t>Meaning</t>
  </si>
  <si>
    <t>Depends On</t>
  </si>
  <si>
    <t>v_π(s)</t>
  </si>
  <si>
    <t>State Value</t>
  </si>
  <si>
    <t>How good is it to BE in state s under policy π?</t>
  </si>
  <si>
    <t>Policy π</t>
  </si>
  <si>
    <t>q_π(s,a)</t>
  </si>
  <si>
    <t>Action Value</t>
  </si>
  <si>
    <t>How good is it to DO action a in state s under π?</t>
  </si>
  <si>
    <t>Nothing (action is fixed)</t>
  </si>
  <si>
    <t>π(a|s)</t>
  </si>
  <si>
    <t>Policy</t>
  </si>
  <si>
    <t>Probability of choosing action a in state s</t>
  </si>
  <si>
    <t>—</t>
  </si>
  <si>
    <t>p(s',r|s,a)</t>
  </si>
  <si>
    <t>Dynamics</t>
  </si>
  <si>
    <t>Probability of landing in s' with reward r</t>
  </si>
  <si>
    <t>γ</t>
  </si>
  <si>
    <t>Discount</t>
  </si>
  <si>
    <t>How much we value future vs immediate rewards (0-1)</t>
  </si>
  <si>
    <t>R</t>
  </si>
  <si>
    <t>Reward</t>
  </si>
  <si>
    <t>Immediate reward for a transition</t>
  </si>
  <si>
    <t>2. THE TWO BELLMAN EQUATIONS</t>
  </si>
  <si>
    <t>v_π(s) — State Value Function</t>
  </si>
  <si>
    <t>Formula:</t>
  </si>
  <si>
    <t>v_π(s) = Σ_a π(a|s) · Σ_{s',r} p(s',r|s,a) · [r + γ · v_π(s')]</t>
  </si>
  <si>
    <t>In words:</t>
  </si>
  <si>
    <t>→ Average over all ACTIONS (weighted by policy)</t>
  </si>
  <si>
    <t xml:space="preserve">   → For each action, average over all possible OUTCOMES (weighted by dynamics)</t>
  </si>
  <si>
    <t xml:space="preserve">      → Each outcome contributes: immediate reward + discounted future value</t>
  </si>
  <si>
    <t>When to use:</t>
  </si>
  <si>
    <t>When you want to know the overall value of a state (considering all possible actions)</t>
  </si>
  <si>
    <t>q_π(s,a) — Action Value Function</t>
  </si>
  <si>
    <t>q_π(s,a) = Σ_{s',r} p(s',r|s,a) · [r + γ · v_π(s')]</t>
  </si>
  <si>
    <t>→ Action is ALREADY CHOSEN (no policy weighting needed at current step)</t>
  </si>
  <si>
    <t xml:space="preserve">   → Average over all possible OUTCOMES of that action (weighted by dynamics)</t>
  </si>
  <si>
    <t>When you want to compare specific actions (e.g., model-free methods like Q-learning)</t>
  </si>
  <si>
    <t>Relationship:</t>
  </si>
  <si>
    <t>v_π(s) = Σ_a π(a|s) · q_π(s,a)</t>
  </si>
  <si>
    <t>"v is just the policy-weighted average of all q values"</t>
  </si>
  <si>
    <t>3. KEY DIFFERENCE — WHY q DOES NOT NEED π</t>
  </si>
  <si>
    <t>Aspect</t>
  </si>
  <si>
    <t>Question answered</t>
  </si>
  <si>
    <t>How good is this STATE?</t>
  </si>
  <si>
    <t>How good is this ACTION in this state?</t>
  </si>
  <si>
    <t>Action known?</t>
  </si>
  <si>
    <t>NO — must average over all actions</t>
  </si>
  <si>
    <t>YES — action a is given</t>
  </si>
  <si>
    <t>Needs policy π?</t>
  </si>
  <si>
    <t>YES — to weight actions</t>
  </si>
  <si>
    <t>NO — action already specified</t>
  </si>
  <si>
    <t>Needs dynamics p?</t>
  </si>
  <si>
    <t>YES — outcomes are uncertain</t>
  </si>
  <si>
    <t>Number of values per state</t>
  </si>
  <si>
    <t>ONE (scalar per state)</t>
  </si>
  <si>
    <t>|A| values (one per action)</t>
  </si>
  <si>
    <t>Can derive optimal policy?</t>
  </si>
  <si>
    <t>Only with dynamics model</t>
  </si>
  <si>
    <t>Directly: π*(s) = argmax_a q(s,a)</t>
  </si>
  <si>
    <t>4. EXAMPLE — DETERMINISTIC ENVIRONMENT (P=1)</t>
  </si>
  <si>
    <t>Grid:</t>
  </si>
  <si>
    <t xml:space="preserve">        V=10 (up)</t>
  </si>
  <si>
    <t xml:space="preserve">         |</t>
  </si>
  <si>
    <t xml:space="preserve">  V=0 -- s -- V=5 (right)</t>
  </si>
  <si>
    <t xml:space="preserve">        V=2 (down)</t>
  </si>
  <si>
    <t>γ = 0.9, all rewards = 0, uniform policy π(a|s) = 0.25</t>
  </si>
  <si>
    <t>Step 1: Compute q(s,a) for each action</t>
  </si>
  <si>
    <t>Action</t>
  </si>
  <si>
    <t>P(s'|s,a)</t>
  </si>
  <si>
    <t>r</t>
  </si>
  <si>
    <t>q(s,a) = P·[r + γ·V(s')]</t>
  </si>
  <si>
    <t>Result</t>
  </si>
  <si>
    <t>Up</t>
  </si>
  <si>
    <t>1</t>
  </si>
  <si>
    <t>0</t>
  </si>
  <si>
    <t>10</t>
  </si>
  <si>
    <t>1 × (0 + 0.9×10)</t>
  </si>
  <si>
    <t>9.0</t>
  </si>
  <si>
    <t>Left</t>
  </si>
  <si>
    <t>1 × (0 + 0.9×0)</t>
  </si>
  <si>
    <t>0.0</t>
  </si>
  <si>
    <t>Right</t>
  </si>
  <si>
    <t>5</t>
  </si>
  <si>
    <t>1 × (0 + 0.9×5)</t>
  </si>
  <si>
    <t>4.5</t>
  </si>
  <si>
    <t>Down</t>
  </si>
  <si>
    <t>2</t>
  </si>
  <si>
    <t>1 × (0 + 0.9×2)</t>
  </si>
  <si>
    <t>1.8</t>
  </si>
  <si>
    <t>Step 2: Compute v(s) from q values</t>
  </si>
  <si>
    <t>v(s) = Σ π(a|s) · q(s,a)</t>
  </si>
  <si>
    <t xml:space="preserve">     = 0.25×9.0 + 0.25×0.0 + 0.25×4.5 + 0.25×1.8</t>
  </si>
  <si>
    <t xml:space="preserve">     = 2.25 + 0 + 1.125 + 0.45</t>
  </si>
  <si>
    <t xml:space="preserve">     = 3.825</t>
  </si>
  <si>
    <t>Best action: UP (q=9.0)</t>
  </si>
  <si>
    <t>5. EXAMPLE — STOCHASTIC ENVIRONMENT (slippery floor)</t>
  </si>
  <si>
    <t>Same grid, but actions are unreliable:</t>
  </si>
  <si>
    <t>• Intended direction: P = 0.7</t>
  </si>
  <si>
    <t>• Slip perpendicular: P = 0.2 + 0.1</t>
  </si>
  <si>
    <t xml:space="preserve">        V=5 (up)</t>
  </si>
  <si>
    <t xml:space="preserve"> V=12 -- s -- V=3 (right)</t>
  </si>
  <si>
    <t xml:space="preserve">        V=1 (down)</t>
  </si>
  <si>
    <t>γ = 0.9, all rewards = 0</t>
  </si>
  <si>
    <t>Computing q(s, LEFT) — action LEFT on slippery floor:</t>
  </si>
  <si>
    <t>Outcome</t>
  </si>
  <si>
    <t>P(s'|s, a=left)</t>
  </si>
  <si>
    <t>P · [r + γ·V(s')]</t>
  </si>
  <si>
    <t>Contribution</t>
  </si>
  <si>
    <t>Go left (intended)</t>
  </si>
  <si>
    <t>0.7</t>
  </si>
  <si>
    <t>12</t>
  </si>
  <si>
    <t>0.7×(0+0.9×12)</t>
  </si>
  <si>
    <t>7.56</t>
  </si>
  <si>
    <t>Slip up</t>
  </si>
  <si>
    <t>0.2</t>
  </si>
  <si>
    <t>0.2×(0+0.9×5)</t>
  </si>
  <si>
    <t>0.90</t>
  </si>
  <si>
    <t>Slip down</t>
  </si>
  <si>
    <t>0.1</t>
  </si>
  <si>
    <t>0.1×(0+0.9×1)</t>
  </si>
  <si>
    <t>0.09</t>
  </si>
  <si>
    <t>TOTAL</t>
  </si>
  <si>
    <t>1.0</t>
  </si>
  <si>
    <t>8.55</t>
  </si>
  <si>
    <t>Compare: deterministic q(s,left) = 1×(0+0.9×12) = 10.8</t>
  </si>
  <si>
    <t>Stochastic q(s,left) = 8.55 — lower because 30% chance of not reaching V=12</t>
  </si>
  <si>
    <t>6. BELLMAN OPTIMALITY EQUATIONS</t>
  </si>
  <si>
    <t>v*(s):</t>
  </si>
  <si>
    <t>v*(s) = max_a Σ_{s',r} p(s',r|s,a) · [r + γ · v*(s')]</t>
  </si>
  <si>
    <t>→ Instead of averaging over actions, take the BEST action</t>
  </si>
  <si>
    <t>q*(s,a):</t>
  </si>
  <si>
    <t>q*(s,a) = Σ_{s',r} p(s',r|s,a) · [r + γ · max_{a'} q*(s',a')]</t>
  </si>
  <si>
    <t>→ Same as q_π, but at next state assume optimal action is taken</t>
  </si>
  <si>
    <t>From deterministic example:</t>
  </si>
  <si>
    <t>v*(s) = max(9.0, 0.0, 4.5, 1.8) = 9.0</t>
  </si>
  <si>
    <t>v_π(s) = 3.825  (uniform policy wastes potential)</t>
  </si>
  <si>
    <t>Optimal policy: always go UP</t>
  </si>
  <si>
    <t>7. COMMON MISTAKES</t>
  </si>
  <si>
    <t>Mistake</t>
  </si>
  <si>
    <t>Why it's wrong</t>
  </si>
  <si>
    <t>Correct approach</t>
  </si>
  <si>
    <t>Summing all actions for q(s,a)</t>
  </si>
  <si>
    <t>q is for ONE specific action, not all</t>
  </si>
  <si>
    <t>Each q(s,a) = single action's outcomes only</t>
  </si>
  <si>
    <t>Omitting π from v(s)</t>
  </si>
  <si>
    <t>v must weight actions by policy probability</t>
  </si>
  <si>
    <t>Using π in q(s,a) at current step</t>
  </si>
  <si>
    <t>Action is already decided in q</t>
  </si>
  <si>
    <t>π only appears for NEXT state in q_π</t>
  </si>
  <si>
    <t>Ignoring P when deterministic</t>
  </si>
  <si>
    <t>P=1 still multiplies the term</t>
  </si>
  <si>
    <t>Always include P, even if trivially 1</t>
  </si>
  <si>
    <t>Confusing P with π</t>
  </si>
  <si>
    <t>π = agent's choice, P = environment's response</t>
  </si>
  <si>
    <t>π: what you do, P: what happens</t>
  </si>
  <si>
    <t>P(up)</t>
  </si>
  <si>
    <t>P(left)</t>
  </si>
  <si>
    <t>P(right)</t>
  </si>
  <si>
    <t>P(down)</t>
  </si>
  <si>
    <t>r(s,a)</t>
  </si>
  <si>
    <t>r (s ,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</si>
</sst>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2"/>
      <color theme="1"/>
      <name val="Aptos Narrow"/>
      <family val="2"/>
      <scheme val="minor"/>
    </font>
    <font>
      <b/>
      <sz val="16"/>
      <name val="Aptos Narrow"/>
    </font>
    <font>
      <b/>
      <sz val="14"/>
      <name val="Aptos Narrow"/>
    </font>
    <font>
      <b/>
      <sz val="12"/>
      <name val="Aptos Narrow"/>
    </font>
    <font>
      <b/>
      <sz val="11"/>
      <color rgb="FF1F4E79"/>
      <name val="Aptos Narrow"/>
    </font>
    <font>
      <i/>
      <sz val="11"/>
      <name val="Aptos Narrow"/>
    </font>
    <font>
      <b/>
      <sz val="24"/>
      <color theme="1"/>
      <name val="Aptos"/>
    </font>
    <font>
      <sz val="24"/>
      <color theme="1"/>
      <name val="Aptos"/>
    </font>
    <font>
      <b/>
      <sz val="24"/>
      <color theme="0" tint="-0.499984740745262"/>
      <name val="Aptos"/>
    </font>
    <font>
      <b/>
      <sz val="24"/>
      <color theme="0"/>
      <name val="Aptos"/>
    </font>
    <font>
      <b/>
      <sz val="24"/>
      <name val="Aptos"/>
    </font>
    <font>
      <b/>
      <i/>
      <sz val="24"/>
      <name val="Aptos"/>
    </font>
    <font>
      <b/>
      <sz val="20"/>
      <name val="Aptos"/>
    </font>
    <font>
      <b/>
      <sz val="16"/>
      <name val="Aptos"/>
    </font>
    <font>
      <i/>
      <sz val="16"/>
      <name val="Aptos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12" borderId="8" xfId="0" applyFont="1" applyFill="1" applyBorder="1"/>
    <xf numFmtId="0" fontId="0" fillId="13" borderId="8" xfId="0" applyFill="1" applyBorder="1"/>
    <xf numFmtId="0" fontId="0" fillId="0" borderId="8" xfId="0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14" borderId="8" xfId="0" applyFill="1" applyBorder="1"/>
    <xf numFmtId="0" fontId="0" fillId="15" borderId="8" xfId="0" applyFill="1" applyBorder="1"/>
    <xf numFmtId="0" fontId="3" fillId="15" borderId="8" xfId="0" applyFont="1" applyFill="1" applyBorder="1"/>
    <xf numFmtId="0" fontId="6" fillId="0" borderId="0" xfId="0" applyFont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7" fillId="18" borderId="9" xfId="0" applyFont="1" applyFill="1" applyBorder="1" applyAlignment="1">
      <alignment horizontal="center" vertical="center"/>
    </xf>
    <xf numFmtId="0" fontId="7" fillId="19" borderId="9" xfId="0" applyFont="1" applyFill="1" applyBorder="1" applyAlignment="1">
      <alignment horizontal="center" vertical="center"/>
    </xf>
    <xf numFmtId="0" fontId="10" fillId="16" borderId="9" xfId="0" applyFont="1" applyFill="1" applyBorder="1" applyAlignment="1">
      <alignment horizontal="center" vertical="center"/>
    </xf>
    <xf numFmtId="0" fontId="7" fillId="20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0" fillId="19" borderId="9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0" fontId="7" fillId="18" borderId="10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2" fillId="20" borderId="9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9" fillId="17" borderId="9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17" borderId="11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/>
    </xf>
    <xf numFmtId="0" fontId="10" fillId="21" borderId="11" xfId="0" applyFont="1" applyFill="1" applyBorder="1" applyAlignment="1">
      <alignment horizontal="center" vertical="center"/>
    </xf>
    <xf numFmtId="0" fontId="10" fillId="21" borderId="5" xfId="0" applyFont="1" applyFill="1" applyBorder="1" applyAlignment="1">
      <alignment horizontal="center" vertical="center"/>
    </xf>
    <xf numFmtId="0" fontId="10" fillId="21" borderId="6" xfId="0" applyFont="1" applyFill="1" applyBorder="1" applyAlignment="1">
      <alignment horizontal="center" vertical="center"/>
    </xf>
    <xf numFmtId="0" fontId="13" fillId="20" borderId="11" xfId="0" applyFont="1" applyFill="1" applyBorder="1" applyAlignment="1">
      <alignment horizontal="center" vertical="center"/>
    </xf>
    <xf numFmtId="0" fontId="13" fillId="20" borderId="5" xfId="0" applyFont="1" applyFill="1" applyBorder="1" applyAlignment="1">
      <alignment horizontal="center" vertical="center"/>
    </xf>
    <xf numFmtId="0" fontId="13" fillId="20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13</xdr:row>
      <xdr:rowOff>482600</xdr:rowOff>
    </xdr:from>
    <xdr:to>
      <xdr:col>13</xdr:col>
      <xdr:colOff>38100</xdr:colOff>
      <xdr:row>15</xdr:row>
      <xdr:rowOff>241300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1600" y="8572500"/>
          <a:ext cx="4622800" cy="1003300"/>
        </a:xfrm>
        <a:prstGeom prst="rect">
          <a:avLst/>
        </a:prstGeom>
        <a:ln>
          <a:solidFill>
            <a:schemeClr val="accent1"/>
          </a:solidFill>
          <a:prstDash val="solid"/>
        </a:ln>
      </xdr:spPr>
    </xdr:pic>
    <xdr:clientData/>
  </xdr:twoCellAnchor>
  <xdr:twoCellAnchor editAs="oneCell">
    <xdr:from>
      <xdr:col>8</xdr:col>
      <xdr:colOff>38100</xdr:colOff>
      <xdr:row>5</xdr:row>
      <xdr:rowOff>520700</xdr:rowOff>
    </xdr:from>
    <xdr:to>
      <xdr:col>13</xdr:col>
      <xdr:colOff>711200</xdr:colOff>
      <xdr:row>7</xdr:row>
      <xdr:rowOff>101600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3000" y="3632200"/>
          <a:ext cx="5524500" cy="82550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266700</xdr:colOff>
      <xdr:row>25</xdr:row>
      <xdr:rowOff>482600</xdr:rowOff>
    </xdr:from>
    <xdr:ext cx="4622800" cy="10033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1600" y="8572500"/>
          <a:ext cx="4622800" cy="1003300"/>
        </a:xfrm>
        <a:prstGeom prst="rect">
          <a:avLst/>
        </a:prstGeom>
        <a:ln>
          <a:solidFill>
            <a:schemeClr val="accent1"/>
          </a:solidFill>
          <a:prstDash val="solid"/>
        </a:ln>
      </xdr:spPr>
    </xdr:pic>
    <xdr:clientData/>
  </xdr:oneCellAnchor>
  <xdr:oneCellAnchor>
    <xdr:from>
      <xdr:col>0</xdr:col>
      <xdr:colOff>698500</xdr:colOff>
      <xdr:row>43</xdr:row>
      <xdr:rowOff>139700</xdr:rowOff>
    </xdr:from>
    <xdr:ext cx="4622800" cy="1003300"/>
    <xdr:pic>
      <xdr:nvPicPr>
        <xdr:cNvPr id="3" name="Picture 2">
          <a:extLst>
            <a:ext uri="{FF2B5EF4-FFF2-40B4-BE49-F238E27FC236}">
              <a16:creationId xmlns:a16="http://schemas.microsoft.com/office/drawing/2014/main" id="{45C3C984-D79C-8049-833D-AADF1B929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0" y="26022300"/>
          <a:ext cx="4622800" cy="1003300"/>
        </a:xfrm>
        <a:prstGeom prst="rect">
          <a:avLst/>
        </a:prstGeom>
        <a:ln>
          <a:solidFill>
            <a:schemeClr val="accent1"/>
          </a:solidFill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zoomScaleNormal="100" workbookViewId="0">
      <selection activeCell="C8" sqref="C8"/>
    </sheetView>
  </sheetViews>
  <sheetFormatPr baseColWidth="10" defaultRowHeight="49" customHeight="1"/>
  <cols>
    <col min="1" max="1" width="22" style="12" customWidth="1"/>
    <col min="2" max="2" width="10.83203125" style="12" customWidth="1"/>
    <col min="3" max="3" width="14.83203125" style="12" bestFit="1" customWidth="1"/>
    <col min="4" max="4" width="10.83203125" style="12" customWidth="1"/>
    <col min="5" max="11" width="10.83203125" style="12"/>
    <col min="12" max="12" width="10.5" style="12" customWidth="1"/>
    <col min="13" max="13" width="20.6640625" style="12" bestFit="1" customWidth="1"/>
    <col min="14" max="14" width="11.33203125" style="12" bestFit="1" customWidth="1"/>
    <col min="15" max="15" width="12.6640625" style="12" bestFit="1" customWidth="1"/>
    <col min="16" max="16" width="14.33203125" style="12" bestFit="1" customWidth="1"/>
    <col min="17" max="17" width="15.83203125" style="12" bestFit="1" customWidth="1"/>
    <col min="18" max="16384" width="10.83203125" style="12"/>
  </cols>
  <sheetData>
    <row r="1" spans="1:20" ht="49" customHeight="1" thickBot="1"/>
    <row r="2" spans="1:20" ht="49" customHeight="1" thickBot="1">
      <c r="A2" s="12" t="s">
        <v>0</v>
      </c>
      <c r="C2" s="58" t="s">
        <v>1</v>
      </c>
      <c r="D2" s="51"/>
      <c r="E2" s="52"/>
      <c r="G2" s="61" t="s">
        <v>2</v>
      </c>
      <c r="H2" s="51"/>
      <c r="I2" s="52"/>
      <c r="K2" s="60" t="s">
        <v>3</v>
      </c>
      <c r="L2" s="51"/>
      <c r="M2" s="52"/>
      <c r="O2" s="53" t="s">
        <v>194</v>
      </c>
      <c r="P2" s="51"/>
      <c r="Q2" s="52"/>
      <c r="S2" s="13" t="s">
        <v>4</v>
      </c>
      <c r="T2" s="14">
        <v>0.9</v>
      </c>
    </row>
    <row r="3" spans="1:20" ht="49" customHeight="1" thickBot="1">
      <c r="A3" s="12">
        <v>6</v>
      </c>
      <c r="D3" s="15">
        <v>10</v>
      </c>
      <c r="H3" s="16">
        <v>0.25</v>
      </c>
      <c r="L3" s="17">
        <v>1</v>
      </c>
      <c r="P3" s="18">
        <v>0</v>
      </c>
    </row>
    <row r="4" spans="1:20" ht="49" customHeight="1" thickBot="1">
      <c r="C4" s="15">
        <v>0</v>
      </c>
      <c r="D4" s="19" t="s">
        <v>5</v>
      </c>
      <c r="E4" s="15">
        <v>5</v>
      </c>
      <c r="G4" s="16">
        <v>0.25</v>
      </c>
      <c r="H4" s="19" t="s">
        <v>5</v>
      </c>
      <c r="I4" s="16">
        <v>0.25</v>
      </c>
      <c r="K4" s="17">
        <v>1</v>
      </c>
      <c r="L4" s="19" t="s">
        <v>5</v>
      </c>
      <c r="M4" s="17">
        <v>1</v>
      </c>
      <c r="O4" s="18">
        <v>0</v>
      </c>
      <c r="P4" s="19" t="s">
        <v>5</v>
      </c>
      <c r="Q4" s="18">
        <v>0</v>
      </c>
    </row>
    <row r="5" spans="1:20" ht="49" customHeight="1" thickBot="1">
      <c r="D5" s="15">
        <v>2</v>
      </c>
      <c r="H5" s="16">
        <v>0.25</v>
      </c>
      <c r="L5" s="17">
        <v>1</v>
      </c>
      <c r="P5" s="18">
        <v>0</v>
      </c>
    </row>
    <row r="6" spans="1:20" ht="49" customHeight="1" thickBot="1"/>
    <row r="7" spans="1:20" ht="49" customHeight="1" thickBot="1">
      <c r="B7" s="56" t="s">
        <v>6</v>
      </c>
      <c r="C7" s="51"/>
      <c r="D7" s="51"/>
      <c r="E7" s="51"/>
      <c r="F7" s="51"/>
      <c r="G7" s="57"/>
    </row>
    <row r="8" spans="1:20" ht="49" customHeight="1">
      <c r="B8" s="20" t="s">
        <v>7</v>
      </c>
      <c r="C8" s="67">
        <f>(K4*G4*(0+T2*C4))+(M4*I4*(Q4+T2*E4))+(L3*H3*(0+T2*D3))+(L5*H5*(P5+T2*D5))</f>
        <v>3.8250000000000002</v>
      </c>
    </row>
    <row r="9" spans="1:20" ht="49" customHeight="1" thickBot="1"/>
    <row r="10" spans="1:20" ht="49" customHeight="1" thickBot="1">
      <c r="A10" s="12">
        <v>7</v>
      </c>
      <c r="C10" s="58" t="s">
        <v>1</v>
      </c>
      <c r="D10" s="51"/>
      <c r="E10" s="52"/>
      <c r="G10" s="59" t="s">
        <v>2</v>
      </c>
      <c r="H10" s="51"/>
      <c r="I10" s="52"/>
      <c r="K10" s="60" t="s">
        <v>8</v>
      </c>
      <c r="L10" s="51"/>
      <c r="M10" s="52"/>
      <c r="O10" s="53" t="s">
        <v>194</v>
      </c>
      <c r="P10" s="51"/>
      <c r="Q10" s="52"/>
      <c r="S10" s="13" t="s">
        <v>4</v>
      </c>
      <c r="T10" s="14">
        <v>0.9</v>
      </c>
    </row>
    <row r="11" spans="1:20" ht="49" customHeight="1" thickBot="1">
      <c r="D11" s="15">
        <v>20</v>
      </c>
      <c r="H11" s="21" t="s">
        <v>9</v>
      </c>
      <c r="L11" s="17">
        <v>1</v>
      </c>
      <c r="P11" s="18">
        <v>10</v>
      </c>
    </row>
    <row r="12" spans="1:20" ht="49" customHeight="1" thickBot="1">
      <c r="C12" s="15">
        <v>20</v>
      </c>
      <c r="D12" s="22" t="s">
        <v>5</v>
      </c>
      <c r="E12" s="15">
        <v>0</v>
      </c>
      <c r="G12" s="21" t="s">
        <v>9</v>
      </c>
      <c r="H12" s="22" t="s">
        <v>5</v>
      </c>
      <c r="I12" s="21" t="s">
        <v>9</v>
      </c>
      <c r="K12" s="17">
        <v>1</v>
      </c>
      <c r="L12" s="22" t="s">
        <v>5</v>
      </c>
      <c r="M12" s="17">
        <v>1</v>
      </c>
      <c r="O12" s="18">
        <v>10</v>
      </c>
      <c r="P12" s="22" t="s">
        <v>5</v>
      </c>
      <c r="Q12" s="18">
        <v>0</v>
      </c>
    </row>
    <row r="13" spans="1:20" ht="49" customHeight="1" thickBot="1">
      <c r="D13" s="15">
        <v>0</v>
      </c>
      <c r="H13" s="21" t="s">
        <v>9</v>
      </c>
      <c r="L13" s="17">
        <v>1</v>
      </c>
      <c r="P13" s="18">
        <v>0</v>
      </c>
    </row>
    <row r="15" spans="1:20" ht="49" customHeight="1">
      <c r="B15" s="54" t="s">
        <v>10</v>
      </c>
      <c r="C15" s="55"/>
      <c r="D15" s="55"/>
      <c r="E15" s="55"/>
      <c r="F15" s="55"/>
      <c r="G15" s="55"/>
    </row>
    <row r="16" spans="1:20" ht="49" customHeight="1" thickBot="1"/>
    <row r="17" spans="1:20" ht="49" customHeight="1" thickBot="1">
      <c r="C17" s="50" t="s">
        <v>11</v>
      </c>
      <c r="D17" s="51"/>
      <c r="E17" s="52"/>
    </row>
    <row r="18" spans="1:20" ht="49" customHeight="1" thickBot="1">
      <c r="D18" s="22">
        <f>L11*(P11+$T$10*D11)</f>
        <v>28</v>
      </c>
    </row>
    <row r="19" spans="1:20" ht="49" customHeight="1" thickBot="1">
      <c r="C19" s="22">
        <f>K12*(O12+$T$10*C12)</f>
        <v>28</v>
      </c>
      <c r="D19" s="22" t="s">
        <v>5</v>
      </c>
      <c r="E19" s="22">
        <f>M12*(Q12+$T$10*E12)</f>
        <v>0</v>
      </c>
    </row>
    <row r="20" spans="1:20" ht="49" customHeight="1" thickBot="1">
      <c r="D20" s="22">
        <f>L13*(P13+$T$10*D13)</f>
        <v>0</v>
      </c>
    </row>
    <row r="21" spans="1:20" ht="49" customHeight="1" thickBot="1"/>
    <row r="22" spans="1:20" ht="49" customHeight="1" thickBot="1">
      <c r="A22" s="12" t="s">
        <v>12</v>
      </c>
      <c r="C22" s="58" t="s">
        <v>1</v>
      </c>
      <c r="D22" s="51"/>
      <c r="E22" s="52"/>
      <c r="G22" s="59" t="s">
        <v>2</v>
      </c>
      <c r="H22" s="51"/>
      <c r="I22" s="52"/>
      <c r="K22" s="60" t="s">
        <v>8</v>
      </c>
      <c r="L22" s="51"/>
      <c r="M22" s="52"/>
      <c r="O22" s="53" t="s">
        <v>194</v>
      </c>
      <c r="P22" s="51"/>
      <c r="Q22" s="52"/>
      <c r="S22" s="13" t="s">
        <v>4</v>
      </c>
      <c r="T22" s="14">
        <v>0.9</v>
      </c>
    </row>
    <row r="23" spans="1:20" ht="49" customHeight="1" thickBot="1">
      <c r="D23" s="15">
        <v>20</v>
      </c>
      <c r="H23" s="21" t="s">
        <v>9</v>
      </c>
      <c r="L23" s="17">
        <v>0.1</v>
      </c>
      <c r="P23" s="18">
        <v>10</v>
      </c>
    </row>
    <row r="24" spans="1:20" ht="49" customHeight="1" thickBot="1">
      <c r="C24" s="15">
        <v>20</v>
      </c>
      <c r="D24" s="22" t="s">
        <v>5</v>
      </c>
      <c r="E24" s="15">
        <v>0</v>
      </c>
      <c r="G24" s="21" t="s">
        <v>9</v>
      </c>
      <c r="H24" s="22" t="s">
        <v>5</v>
      </c>
      <c r="I24" s="21" t="s">
        <v>9</v>
      </c>
      <c r="K24" s="17">
        <v>0.33</v>
      </c>
      <c r="L24" s="22" t="s">
        <v>5</v>
      </c>
      <c r="M24" s="17">
        <v>0.45</v>
      </c>
      <c r="O24" s="18">
        <v>10</v>
      </c>
      <c r="P24" s="22" t="s">
        <v>5</v>
      </c>
      <c r="Q24" s="18">
        <v>0</v>
      </c>
    </row>
    <row r="25" spans="1:20" ht="49" customHeight="1" thickBot="1">
      <c r="D25" s="15">
        <v>0</v>
      </c>
      <c r="H25" s="21" t="s">
        <v>9</v>
      </c>
      <c r="L25" s="17">
        <v>0.21</v>
      </c>
      <c r="P25" s="18">
        <v>0</v>
      </c>
    </row>
    <row r="27" spans="1:20" ht="49" customHeight="1">
      <c r="B27" s="54" t="s">
        <v>10</v>
      </c>
      <c r="C27" s="55"/>
      <c r="D27" s="55"/>
      <c r="E27" s="55"/>
      <c r="F27" s="55"/>
      <c r="G27" s="55"/>
    </row>
    <row r="28" spans="1:20" ht="49" customHeight="1" thickBot="1"/>
    <row r="29" spans="1:20" ht="49" customHeight="1" thickBot="1">
      <c r="C29" s="50" t="s">
        <v>11</v>
      </c>
      <c r="D29" s="51"/>
      <c r="E29" s="52"/>
    </row>
    <row r="30" spans="1:20" ht="49" customHeight="1" thickBot="1">
      <c r="D30" s="22">
        <f>L23*(P23+$T$22*D23)+K24*(O24+$T$22*C24)+M24*(Q24+$T$22*E24)+L25*(P25+$T$22*D25)</f>
        <v>12.040000000000001</v>
      </c>
    </row>
    <row r="31" spans="1:20" ht="49" customHeight="1" thickBot="1">
      <c r="C31" s="22">
        <f>L23*(P23+$T$22*D23)+K24*(O24+$T$22*C24)+M24*(Q24+$T$22*E24)+L25*(P25+$T$22*D25)</f>
        <v>12.040000000000001</v>
      </c>
      <c r="D31" s="22" t="s">
        <v>5</v>
      </c>
      <c r="E31" s="22">
        <f>L23*(P23+$T$22*D23)+K24*(O24+$T$22*C24)+M24*(Q24+$T$22*E24)+L25*(P25+$T$22*D25)</f>
        <v>12.040000000000001</v>
      </c>
    </row>
    <row r="32" spans="1:20" ht="49" customHeight="1" thickBot="1">
      <c r="D32" s="22">
        <f>L23*(P23+$T$22*D23)+K24*(O24+$T$22*C24)+M24*(Q24+$T$22*E24)+L25*(P25+$T$22*D25)</f>
        <v>12.040000000000001</v>
      </c>
    </row>
    <row r="34" spans="1:21" ht="32">
      <c r="A34" s="23" t="s">
        <v>13</v>
      </c>
      <c r="B34" s="39" t="s">
        <v>14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spans="1:21" ht="32">
      <c r="B35" s="39" t="s">
        <v>15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</row>
    <row r="36" spans="1:21" ht="32">
      <c r="B36" s="49" t="s">
        <v>16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pans="1:21" ht="49" customHeight="1" thickBot="1"/>
    <row r="38" spans="1:21" ht="46" customHeight="1" thickBot="1">
      <c r="C38" s="64" t="s">
        <v>1</v>
      </c>
      <c r="D38" s="65"/>
      <c r="E38" s="66"/>
      <c r="H38" s="43" t="s">
        <v>193</v>
      </c>
      <c r="I38" s="44"/>
      <c r="J38" s="45"/>
      <c r="M38" s="46" t="s">
        <v>18</v>
      </c>
      <c r="N38" s="47"/>
      <c r="O38" s="47"/>
      <c r="P38" s="47"/>
      <c r="Q38" s="47"/>
      <c r="R38" s="48"/>
      <c r="S38" s="36"/>
      <c r="T38" s="34" t="s">
        <v>17</v>
      </c>
      <c r="U38" s="27">
        <v>0.9</v>
      </c>
    </row>
    <row r="39" spans="1:21" ht="46" customHeight="1" thickBot="1">
      <c r="D39" s="32">
        <v>8</v>
      </c>
      <c r="I39" s="33">
        <v>0</v>
      </c>
      <c r="M39" s="35" t="s">
        <v>19</v>
      </c>
      <c r="N39" s="35" t="s">
        <v>189</v>
      </c>
      <c r="O39" s="35" t="s">
        <v>190</v>
      </c>
      <c r="P39" s="35" t="s">
        <v>191</v>
      </c>
      <c r="Q39" s="35" t="s">
        <v>192</v>
      </c>
      <c r="R39" s="35" t="s">
        <v>20</v>
      </c>
    </row>
    <row r="40" spans="1:21" ht="46" customHeight="1" thickBot="1">
      <c r="C40" s="25">
        <v>12</v>
      </c>
      <c r="D40" s="37" t="s">
        <v>5</v>
      </c>
      <c r="E40" s="25">
        <v>3</v>
      </c>
      <c r="H40" s="26">
        <v>5</v>
      </c>
      <c r="I40" s="37" t="s">
        <v>5</v>
      </c>
      <c r="J40" s="26">
        <v>0</v>
      </c>
      <c r="M40" s="28" t="s">
        <v>21</v>
      </c>
      <c r="N40" s="29">
        <v>0.7</v>
      </c>
      <c r="O40" s="29">
        <v>0.1</v>
      </c>
      <c r="P40" s="29">
        <v>0.1</v>
      </c>
      <c r="Q40" s="29">
        <v>0.1</v>
      </c>
      <c r="R40" s="30">
        <v>1</v>
      </c>
    </row>
    <row r="41" spans="1:21" ht="46" customHeight="1" thickBot="1">
      <c r="D41" s="25">
        <v>1</v>
      </c>
      <c r="I41" s="26">
        <v>0</v>
      </c>
      <c r="M41" s="28" t="s">
        <v>22</v>
      </c>
      <c r="N41" s="29">
        <v>0.15</v>
      </c>
      <c r="O41" s="29">
        <v>0.6</v>
      </c>
      <c r="P41" s="29">
        <v>0.1</v>
      </c>
      <c r="Q41" s="29">
        <v>0.15</v>
      </c>
      <c r="R41" s="30">
        <v>1</v>
      </c>
    </row>
    <row r="42" spans="1:21" ht="46" customHeight="1" thickBot="1">
      <c r="M42" s="28" t="s">
        <v>23</v>
      </c>
      <c r="N42" s="29">
        <v>0.1</v>
      </c>
      <c r="O42" s="29">
        <v>0.1</v>
      </c>
      <c r="P42" s="29">
        <v>0.7</v>
      </c>
      <c r="Q42" s="29">
        <v>0.1</v>
      </c>
      <c r="R42" s="30">
        <v>1</v>
      </c>
    </row>
    <row r="43" spans="1:21" ht="46" customHeight="1" thickBot="1">
      <c r="M43" s="28" t="s">
        <v>24</v>
      </c>
      <c r="N43" s="29">
        <v>0.1</v>
      </c>
      <c r="O43" s="29">
        <v>0.15</v>
      </c>
      <c r="P43" s="29">
        <v>0.15</v>
      </c>
      <c r="Q43" s="29">
        <v>0.6</v>
      </c>
      <c r="R43" s="30">
        <v>1</v>
      </c>
    </row>
    <row r="44" spans="1:21" ht="46" customHeight="1"/>
    <row r="45" spans="1:21" ht="46" customHeight="1"/>
    <row r="46" spans="1:21" ht="46" customHeight="1" thickBot="1">
      <c r="A46" s="39" t="s">
        <v>25</v>
      </c>
      <c r="B46" s="39"/>
      <c r="C46" s="39"/>
      <c r="D46" s="39"/>
      <c r="E46" s="39"/>
      <c r="F46" s="39"/>
      <c r="H46" s="39" t="s">
        <v>26</v>
      </c>
      <c r="I46" s="39"/>
      <c r="J46" s="39"/>
      <c r="K46" s="39"/>
      <c r="L46" s="39"/>
      <c r="M46" s="39"/>
      <c r="N46" s="39"/>
      <c r="O46" s="39"/>
    </row>
    <row r="47" spans="1:21" ht="46" customHeight="1" thickBot="1">
      <c r="J47" s="24" t="s">
        <v>7</v>
      </c>
      <c r="K47" s="31">
        <f>0.25*(D49+C50+E50+D51)</f>
        <v>6.5650000000000004</v>
      </c>
    </row>
    <row r="48" spans="1:21" ht="46" customHeight="1" thickBot="1">
      <c r="C48" s="40" t="s">
        <v>11</v>
      </c>
      <c r="D48" s="41"/>
      <c r="E48" s="42"/>
    </row>
    <row r="49" spans="3:15" ht="46" customHeight="1" thickBot="1">
      <c r="D49" s="38">
        <f>N40*(I39+$U$38*D39)+O40*(H40+$U$38*C40)+P40*(J40+$U$38*E40)+Q40*(I41+$U$38*D41)</f>
        <v>6.98</v>
      </c>
      <c r="H49" s="62" t="s">
        <v>27</v>
      </c>
      <c r="I49" s="62"/>
      <c r="J49" s="62"/>
      <c r="K49" s="62"/>
      <c r="L49" s="62"/>
      <c r="M49" s="62"/>
      <c r="N49" s="62"/>
      <c r="O49" s="62"/>
    </row>
    <row r="50" spans="3:15" ht="46" customHeight="1" thickBot="1">
      <c r="C50" s="37">
        <f>N41*(I39+$U$38*D39)+O41*(H40+$U$38*C40)+P41*(J40+$U$38*E40)+Q41*(I41+$U$38*D41)</f>
        <v>10.965</v>
      </c>
      <c r="D50" s="37" t="s">
        <v>5</v>
      </c>
      <c r="E50" s="37">
        <f>N42*(I39+$U$38*D39)+O42*(H40+$U$38*C40)+P42*(J40+$U$38*E40)+Q42*(I41+$U$38*D41)</f>
        <v>4.28</v>
      </c>
      <c r="H50" s="63" t="s">
        <v>28</v>
      </c>
      <c r="I50" s="63"/>
      <c r="J50" s="63"/>
      <c r="K50" s="63"/>
      <c r="L50" s="63"/>
      <c r="M50" s="63"/>
      <c r="N50" s="63"/>
      <c r="O50" s="63"/>
    </row>
    <row r="51" spans="3:15" ht="46" customHeight="1" thickBot="1">
      <c r="D51" s="37">
        <f>N43*(I39+$U$38*D39)+O43*(H40+$U$38*C40)+P43*(J40+$U$38*E40)+Q43*(I41+$U$38*D41)</f>
        <v>4.0350000000000001</v>
      </c>
    </row>
    <row r="52" spans="3:15" ht="46" customHeight="1"/>
    <row r="53" spans="3:15" ht="46" customHeight="1"/>
    <row r="54" spans="3:15" ht="46" customHeight="1"/>
    <row r="55" spans="3:15" ht="46" customHeight="1"/>
    <row r="56" spans="3:15" ht="46" customHeight="1"/>
    <row r="57" spans="3:15" ht="46" customHeight="1"/>
    <row r="58" spans="3:15" ht="46" customHeight="1"/>
    <row r="59" spans="3:15" ht="46" customHeight="1"/>
  </sheetData>
  <mergeCells count="28">
    <mergeCell ref="H49:O49"/>
    <mergeCell ref="H50:O50"/>
    <mergeCell ref="M38:R38"/>
    <mergeCell ref="H38:J38"/>
    <mergeCell ref="C38:E38"/>
    <mergeCell ref="O2:Q2"/>
    <mergeCell ref="B15:G15"/>
    <mergeCell ref="B7:G7"/>
    <mergeCell ref="O10:Q10"/>
    <mergeCell ref="C10:E10"/>
    <mergeCell ref="C2:E2"/>
    <mergeCell ref="G2:I2"/>
    <mergeCell ref="K2:M2"/>
    <mergeCell ref="G10:I10"/>
    <mergeCell ref="K10:M10"/>
    <mergeCell ref="B34:S34"/>
    <mergeCell ref="B35:S35"/>
    <mergeCell ref="B36:S36"/>
    <mergeCell ref="C17:E17"/>
    <mergeCell ref="C29:E29"/>
    <mergeCell ref="G22:I22"/>
    <mergeCell ref="K22:M22"/>
    <mergeCell ref="C22:E22"/>
    <mergeCell ref="B27:G27"/>
    <mergeCell ref="O22:Q22"/>
    <mergeCell ref="A46:F46"/>
    <mergeCell ref="C48:E48"/>
    <mergeCell ref="H46:O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25"/>
  <sheetViews>
    <sheetView workbookViewId="0"/>
  </sheetViews>
  <sheetFormatPr baseColWidth="10" defaultColWidth="8.83203125" defaultRowHeight="16"/>
  <cols>
    <col min="1" max="1" width="4" customWidth="1"/>
    <col min="2" max="2" width="30" customWidth="1"/>
    <col min="3" max="7" width="20" customWidth="1"/>
    <col min="8" max="8" width="25" customWidth="1"/>
  </cols>
  <sheetData>
    <row r="1" spans="2:5" ht="22" customHeight="1">
      <c r="B1" s="1" t="s">
        <v>29</v>
      </c>
    </row>
    <row r="3" spans="2:5" ht="19" customHeight="1">
      <c r="B3" s="2" t="s">
        <v>30</v>
      </c>
    </row>
    <row r="5" spans="2:5">
      <c r="B5" s="3" t="s">
        <v>31</v>
      </c>
      <c r="C5" s="3" t="s">
        <v>32</v>
      </c>
      <c r="D5" s="3" t="s">
        <v>33</v>
      </c>
      <c r="E5" s="3" t="s">
        <v>34</v>
      </c>
    </row>
    <row r="6" spans="2:5">
      <c r="B6" s="4" t="s">
        <v>35</v>
      </c>
      <c r="C6" s="4" t="s">
        <v>36</v>
      </c>
      <c r="D6" s="4" t="s">
        <v>37</v>
      </c>
      <c r="E6" s="4" t="s">
        <v>38</v>
      </c>
    </row>
    <row r="7" spans="2:5">
      <c r="B7" s="5" t="s">
        <v>39</v>
      </c>
      <c r="C7" s="5" t="s">
        <v>40</v>
      </c>
      <c r="D7" s="5" t="s">
        <v>41</v>
      </c>
      <c r="E7" s="5" t="s">
        <v>42</v>
      </c>
    </row>
    <row r="8" spans="2:5">
      <c r="B8" s="4" t="s">
        <v>43</v>
      </c>
      <c r="C8" s="4" t="s">
        <v>44</v>
      </c>
      <c r="D8" s="4" t="s">
        <v>45</v>
      </c>
      <c r="E8" s="4" t="s">
        <v>46</v>
      </c>
    </row>
    <row r="9" spans="2:5">
      <c r="B9" s="5" t="s">
        <v>47</v>
      </c>
      <c r="C9" s="5" t="s">
        <v>48</v>
      </c>
      <c r="D9" s="5" t="s">
        <v>49</v>
      </c>
      <c r="E9" s="5" t="s">
        <v>46</v>
      </c>
    </row>
    <row r="10" spans="2:5">
      <c r="B10" s="4" t="s">
        <v>50</v>
      </c>
      <c r="C10" s="4" t="s">
        <v>51</v>
      </c>
      <c r="D10" s="4" t="s">
        <v>52</v>
      </c>
      <c r="E10" s="4" t="s">
        <v>46</v>
      </c>
    </row>
    <row r="11" spans="2:5">
      <c r="B11" s="5" t="s">
        <v>53</v>
      </c>
      <c r="C11" s="5" t="s">
        <v>54</v>
      </c>
      <c r="D11" s="5" t="s">
        <v>55</v>
      </c>
      <c r="E11" s="5" t="s">
        <v>46</v>
      </c>
    </row>
    <row r="14" spans="2:5" ht="19" customHeight="1">
      <c r="B14" s="2" t="s">
        <v>56</v>
      </c>
    </row>
    <row r="16" spans="2:5">
      <c r="B16" s="6" t="s">
        <v>57</v>
      </c>
    </row>
    <row r="17" spans="2:3">
      <c r="B17" s="7" t="s">
        <v>58</v>
      </c>
      <c r="C17" s="8" t="s">
        <v>59</v>
      </c>
    </row>
    <row r="19" spans="2:3">
      <c r="B19" s="7" t="s">
        <v>60</v>
      </c>
    </row>
    <row r="20" spans="2:3">
      <c r="B20" t="s">
        <v>61</v>
      </c>
    </row>
    <row r="21" spans="2:3">
      <c r="B21" t="s">
        <v>62</v>
      </c>
    </row>
    <row r="22" spans="2:3">
      <c r="B22" t="s">
        <v>63</v>
      </c>
    </row>
    <row r="24" spans="2:3">
      <c r="B24" s="7" t="s">
        <v>64</v>
      </c>
      <c r="C24" t="s">
        <v>65</v>
      </c>
    </row>
    <row r="26" spans="2:3">
      <c r="B26" s="6" t="s">
        <v>66</v>
      </c>
    </row>
    <row r="27" spans="2:3">
      <c r="B27" s="7" t="s">
        <v>58</v>
      </c>
      <c r="C27" s="8" t="s">
        <v>67</v>
      </c>
    </row>
    <row r="29" spans="2:3">
      <c r="B29" s="7" t="s">
        <v>60</v>
      </c>
    </row>
    <row r="30" spans="2:3">
      <c r="B30" t="s">
        <v>68</v>
      </c>
    </row>
    <row r="31" spans="2:3">
      <c r="B31" t="s">
        <v>69</v>
      </c>
    </row>
    <row r="32" spans="2:3">
      <c r="B32" t="s">
        <v>63</v>
      </c>
    </row>
    <row r="34" spans="2:4">
      <c r="B34" s="7" t="s">
        <v>64</v>
      </c>
      <c r="C34" t="s">
        <v>70</v>
      </c>
    </row>
    <row r="36" spans="2:4">
      <c r="B36" s="7" t="s">
        <v>71</v>
      </c>
      <c r="C36" s="8" t="s">
        <v>72</v>
      </c>
    </row>
    <row r="37" spans="2:4">
      <c r="C37" t="s">
        <v>73</v>
      </c>
    </row>
    <row r="40" spans="2:4" ht="19" customHeight="1">
      <c r="B40" s="2" t="s">
        <v>74</v>
      </c>
    </row>
    <row r="42" spans="2:4">
      <c r="B42" s="3" t="s">
        <v>75</v>
      </c>
      <c r="C42" s="3" t="s">
        <v>35</v>
      </c>
      <c r="D42" s="3" t="s">
        <v>39</v>
      </c>
    </row>
    <row r="43" spans="2:4">
      <c r="B43" s="5" t="s">
        <v>76</v>
      </c>
      <c r="C43" s="9" t="s">
        <v>77</v>
      </c>
      <c r="D43" s="10" t="s">
        <v>78</v>
      </c>
    </row>
    <row r="44" spans="2:4">
      <c r="B44" s="5" t="s">
        <v>79</v>
      </c>
      <c r="C44" s="9" t="s">
        <v>80</v>
      </c>
      <c r="D44" s="10" t="s">
        <v>81</v>
      </c>
    </row>
    <row r="45" spans="2:4">
      <c r="B45" s="5" t="s">
        <v>82</v>
      </c>
      <c r="C45" s="9" t="s">
        <v>83</v>
      </c>
      <c r="D45" s="10" t="s">
        <v>84</v>
      </c>
    </row>
    <row r="46" spans="2:4">
      <c r="B46" s="5" t="s">
        <v>85</v>
      </c>
      <c r="C46" s="9" t="s">
        <v>86</v>
      </c>
      <c r="D46" s="10" t="s">
        <v>86</v>
      </c>
    </row>
    <row r="47" spans="2:4">
      <c r="B47" s="5" t="s">
        <v>87</v>
      </c>
      <c r="C47" s="9" t="s">
        <v>88</v>
      </c>
      <c r="D47" s="10" t="s">
        <v>89</v>
      </c>
    </row>
    <row r="48" spans="2:4">
      <c r="B48" s="5" t="s">
        <v>90</v>
      </c>
      <c r="C48" s="9" t="s">
        <v>91</v>
      </c>
      <c r="D48" s="10" t="s">
        <v>92</v>
      </c>
    </row>
    <row r="52" spans="2:7" ht="19" customHeight="1">
      <c r="B52" s="2" t="s">
        <v>93</v>
      </c>
    </row>
    <row r="54" spans="2:7">
      <c r="B54" s="7" t="s">
        <v>94</v>
      </c>
    </row>
    <row r="55" spans="2:7">
      <c r="B55" t="s">
        <v>95</v>
      </c>
    </row>
    <row r="56" spans="2:7">
      <c r="B56" t="s">
        <v>96</v>
      </c>
    </row>
    <row r="57" spans="2:7">
      <c r="B57" t="s">
        <v>97</v>
      </c>
    </row>
    <row r="58" spans="2:7">
      <c r="B58" t="s">
        <v>96</v>
      </c>
    </row>
    <row r="59" spans="2:7">
      <c r="B59" t="s">
        <v>98</v>
      </c>
    </row>
    <row r="60" spans="2:7">
      <c r="B60" t="s">
        <v>99</v>
      </c>
    </row>
    <row r="62" spans="2:7">
      <c r="B62" s="6" t="s">
        <v>100</v>
      </c>
    </row>
    <row r="63" spans="2:7">
      <c r="B63" s="3" t="s">
        <v>101</v>
      </c>
      <c r="C63" s="3" t="s">
        <v>102</v>
      </c>
      <c r="D63" s="3" t="s">
        <v>103</v>
      </c>
      <c r="E63" s="3" t="s">
        <v>1</v>
      </c>
      <c r="F63" s="3" t="s">
        <v>104</v>
      </c>
      <c r="G63" s="3" t="s">
        <v>105</v>
      </c>
    </row>
    <row r="64" spans="2:7">
      <c r="B64" s="4" t="s">
        <v>106</v>
      </c>
      <c r="C64" s="4" t="s">
        <v>107</v>
      </c>
      <c r="D64" s="4" t="s">
        <v>108</v>
      </c>
      <c r="E64" s="4" t="s">
        <v>109</v>
      </c>
      <c r="F64" s="4" t="s">
        <v>110</v>
      </c>
      <c r="G64" s="4" t="s">
        <v>111</v>
      </c>
    </row>
    <row r="65" spans="2:7">
      <c r="B65" s="5" t="s">
        <v>112</v>
      </c>
      <c r="C65" s="5" t="s">
        <v>107</v>
      </c>
      <c r="D65" s="5" t="s">
        <v>108</v>
      </c>
      <c r="E65" s="5" t="s">
        <v>108</v>
      </c>
      <c r="F65" s="5" t="s">
        <v>113</v>
      </c>
      <c r="G65" s="5" t="s">
        <v>114</v>
      </c>
    </row>
    <row r="66" spans="2:7">
      <c r="B66" s="4" t="s">
        <v>115</v>
      </c>
      <c r="C66" s="4" t="s">
        <v>107</v>
      </c>
      <c r="D66" s="4" t="s">
        <v>108</v>
      </c>
      <c r="E66" s="4" t="s">
        <v>116</v>
      </c>
      <c r="F66" s="4" t="s">
        <v>117</v>
      </c>
      <c r="G66" s="4" t="s">
        <v>118</v>
      </c>
    </row>
    <row r="67" spans="2:7">
      <c r="B67" s="5" t="s">
        <v>119</v>
      </c>
      <c r="C67" s="5" t="s">
        <v>107</v>
      </c>
      <c r="D67" s="5" t="s">
        <v>108</v>
      </c>
      <c r="E67" s="5" t="s">
        <v>120</v>
      </c>
      <c r="F67" s="5" t="s">
        <v>121</v>
      </c>
      <c r="G67" s="5" t="s">
        <v>122</v>
      </c>
    </row>
    <row r="70" spans="2:7">
      <c r="B70" s="6" t="s">
        <v>123</v>
      </c>
    </row>
    <row r="71" spans="2:7">
      <c r="B71" t="s">
        <v>124</v>
      </c>
    </row>
    <row r="72" spans="2:7">
      <c r="B72" t="s">
        <v>125</v>
      </c>
    </row>
    <row r="73" spans="2:7">
      <c r="B73" t="s">
        <v>126</v>
      </c>
    </row>
    <row r="74" spans="2:7">
      <c r="B74" s="7" t="s">
        <v>127</v>
      </c>
    </row>
    <row r="75" spans="2:7">
      <c r="B75" s="7" t="s">
        <v>128</v>
      </c>
    </row>
    <row r="78" spans="2:7" ht="19" customHeight="1">
      <c r="B78" s="2" t="s">
        <v>129</v>
      </c>
    </row>
    <row r="80" spans="2:7">
      <c r="B80" t="s">
        <v>130</v>
      </c>
    </row>
    <row r="81" spans="2:7">
      <c r="B81" t="s">
        <v>131</v>
      </c>
    </row>
    <row r="82" spans="2:7">
      <c r="B82" t="s">
        <v>132</v>
      </c>
    </row>
    <row r="84" spans="2:7">
      <c r="B84" s="7" t="s">
        <v>94</v>
      </c>
    </row>
    <row r="85" spans="2:7">
      <c r="B85" t="s">
        <v>133</v>
      </c>
    </row>
    <row r="86" spans="2:7">
      <c r="B86" t="s">
        <v>96</v>
      </c>
    </row>
    <row r="87" spans="2:7">
      <c r="B87" t="s">
        <v>134</v>
      </c>
    </row>
    <row r="88" spans="2:7">
      <c r="B88" t="s">
        <v>96</v>
      </c>
    </row>
    <row r="89" spans="2:7">
      <c r="B89" t="s">
        <v>135</v>
      </c>
    </row>
    <row r="90" spans="2:7">
      <c r="B90" t="s">
        <v>136</v>
      </c>
    </row>
    <row r="92" spans="2:7">
      <c r="B92" s="6" t="s">
        <v>137</v>
      </c>
    </row>
    <row r="93" spans="2:7">
      <c r="B93" s="3" t="s">
        <v>138</v>
      </c>
      <c r="C93" s="3" t="s">
        <v>139</v>
      </c>
      <c r="D93" s="3" t="s">
        <v>103</v>
      </c>
      <c r="E93" s="3" t="s">
        <v>1</v>
      </c>
      <c r="F93" s="3" t="s">
        <v>140</v>
      </c>
      <c r="G93" s="3" t="s">
        <v>141</v>
      </c>
    </row>
    <row r="94" spans="2:7">
      <c r="B94" s="4" t="s">
        <v>142</v>
      </c>
      <c r="C94" s="4" t="s">
        <v>143</v>
      </c>
      <c r="D94" s="4" t="s">
        <v>108</v>
      </c>
      <c r="E94" s="4" t="s">
        <v>144</v>
      </c>
      <c r="F94" s="4" t="s">
        <v>145</v>
      </c>
      <c r="G94" s="4" t="s">
        <v>146</v>
      </c>
    </row>
    <row r="95" spans="2:7">
      <c r="B95" s="5" t="s">
        <v>147</v>
      </c>
      <c r="C95" s="5" t="s">
        <v>148</v>
      </c>
      <c r="D95" s="5" t="s">
        <v>108</v>
      </c>
      <c r="E95" s="5" t="s">
        <v>116</v>
      </c>
      <c r="F95" s="5" t="s">
        <v>149</v>
      </c>
      <c r="G95" s="5" t="s">
        <v>150</v>
      </c>
    </row>
    <row r="96" spans="2:7">
      <c r="B96" s="4" t="s">
        <v>151</v>
      </c>
      <c r="C96" s="4" t="s">
        <v>152</v>
      </c>
      <c r="D96" s="4" t="s">
        <v>108</v>
      </c>
      <c r="E96" s="4" t="s">
        <v>107</v>
      </c>
      <c r="F96" s="4" t="s">
        <v>153</v>
      </c>
      <c r="G96" s="4" t="s">
        <v>154</v>
      </c>
    </row>
    <row r="97" spans="2:7">
      <c r="B97" s="11" t="s">
        <v>155</v>
      </c>
      <c r="C97" s="11" t="s">
        <v>156</v>
      </c>
      <c r="D97" s="11"/>
      <c r="E97" s="11"/>
      <c r="F97" s="11"/>
      <c r="G97" s="11" t="s">
        <v>157</v>
      </c>
    </row>
    <row r="100" spans="2:7">
      <c r="B100" t="s">
        <v>158</v>
      </c>
    </row>
    <row r="101" spans="2:7">
      <c r="B101" t="s">
        <v>159</v>
      </c>
    </row>
    <row r="104" spans="2:7" ht="19" customHeight="1">
      <c r="B104" s="2" t="s">
        <v>160</v>
      </c>
    </row>
    <row r="106" spans="2:7">
      <c r="B106" s="6" t="s">
        <v>161</v>
      </c>
      <c r="C106" s="8" t="s">
        <v>162</v>
      </c>
    </row>
    <row r="107" spans="2:7">
      <c r="C107" t="s">
        <v>163</v>
      </c>
    </row>
    <row r="109" spans="2:7">
      <c r="B109" s="6" t="s">
        <v>164</v>
      </c>
      <c r="C109" s="8" t="s">
        <v>165</v>
      </c>
    </row>
    <row r="110" spans="2:7">
      <c r="C110" t="s">
        <v>166</v>
      </c>
    </row>
    <row r="112" spans="2:7">
      <c r="B112" s="7" t="s">
        <v>167</v>
      </c>
    </row>
    <row r="113" spans="2:4">
      <c r="B113" t="s">
        <v>168</v>
      </c>
    </row>
    <row r="114" spans="2:4">
      <c r="B114" t="s">
        <v>169</v>
      </c>
    </row>
    <row r="115" spans="2:4">
      <c r="B115" t="s">
        <v>170</v>
      </c>
    </row>
    <row r="118" spans="2:4" ht="19" customHeight="1">
      <c r="B118" s="2" t="s">
        <v>171</v>
      </c>
    </row>
    <row r="120" spans="2:4">
      <c r="B120" s="3" t="s">
        <v>172</v>
      </c>
      <c r="C120" s="3" t="s">
        <v>173</v>
      </c>
      <c r="D120" s="3" t="s">
        <v>174</v>
      </c>
    </row>
    <row r="121" spans="2:4">
      <c r="B121" s="9" t="s">
        <v>175</v>
      </c>
      <c r="C121" s="9" t="s">
        <v>176</v>
      </c>
      <c r="D121" s="9" t="s">
        <v>177</v>
      </c>
    </row>
    <row r="122" spans="2:4">
      <c r="B122" s="9" t="s">
        <v>178</v>
      </c>
      <c r="C122" s="9" t="s">
        <v>179</v>
      </c>
      <c r="D122" s="9" t="s">
        <v>124</v>
      </c>
    </row>
    <row r="123" spans="2:4">
      <c r="B123" s="9" t="s">
        <v>180</v>
      </c>
      <c r="C123" s="9" t="s">
        <v>181</v>
      </c>
      <c r="D123" s="9" t="s">
        <v>182</v>
      </c>
    </row>
    <row r="124" spans="2:4">
      <c r="B124" s="9" t="s">
        <v>183</v>
      </c>
      <c r="C124" s="9" t="s">
        <v>184</v>
      </c>
      <c r="D124" s="9" t="s">
        <v>185</v>
      </c>
    </row>
    <row r="125" spans="2:4">
      <c r="B125" s="9" t="s">
        <v>186</v>
      </c>
      <c r="C125" s="9" t="s">
        <v>187</v>
      </c>
      <c r="D125" s="9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Bellman Equations 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Samrat Kar</dc:creator>
  <cp:lastModifiedBy>Samrat Kar</cp:lastModifiedBy>
  <dcterms:created xsi:type="dcterms:W3CDTF">2026-05-16T00:06:09Z</dcterms:created>
  <dcterms:modified xsi:type="dcterms:W3CDTF">2026-05-16T03:45:28Z</dcterms:modified>
</cp:coreProperties>
</file>