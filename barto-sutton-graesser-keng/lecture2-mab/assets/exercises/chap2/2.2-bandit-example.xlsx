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amrat.kar/git/drl/class-discs/BITS-DRL-S2-25_AIMLCZG512/assets/exercises/chap2/"/>
    </mc:Choice>
  </mc:AlternateContent>
  <xr:revisionPtr revIDLastSave="0" documentId="13_ncr:1_{610B7DC6-A75C-E649-A3D1-135D6D2CF16A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Main Table" sheetId="1" r:id="rId1"/>
    <sheet name="Q Chart" sheetId="2" r:id="rId2"/>
    <sheet name="Regret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F7" i="1"/>
  <c r="L7" i="1"/>
  <c r="H7" i="1"/>
  <c r="E7" i="1"/>
  <c r="K7" i="1"/>
  <c r="G7" i="1"/>
  <c r="D7" i="1"/>
  <c r="J7" i="1"/>
  <c r="I6" i="1"/>
  <c r="L6" i="1"/>
  <c r="H6" i="1"/>
  <c r="E6" i="1"/>
  <c r="K6" i="1"/>
  <c r="G6" i="1"/>
  <c r="D6" i="1"/>
  <c r="J6" i="1"/>
  <c r="F6" i="1"/>
  <c r="I5" i="1"/>
  <c r="L5" i="1"/>
  <c r="H5" i="1"/>
  <c r="E5" i="1"/>
  <c r="K5" i="1"/>
  <c r="G5" i="1"/>
  <c r="D5" i="1"/>
  <c r="J5" i="1"/>
  <c r="F5" i="1"/>
  <c r="I4" i="1"/>
  <c r="L4" i="1"/>
  <c r="H4" i="1"/>
  <c r="E4" i="1"/>
  <c r="K4" i="1"/>
  <c r="G4" i="1"/>
  <c r="D4" i="1"/>
  <c r="J4" i="1"/>
  <c r="F4" i="1"/>
  <c r="I3" i="1"/>
  <c r="L3" i="1"/>
  <c r="H3" i="1"/>
  <c r="K3" i="1"/>
  <c r="G3" i="1"/>
  <c r="D3" i="1"/>
  <c r="J3" i="1"/>
  <c r="F3" i="1"/>
  <c r="E3" i="1"/>
  <c r="I2" i="1"/>
  <c r="L2" i="1"/>
  <c r="H2" i="1"/>
  <c r="K2" i="1"/>
  <c r="G2" i="1"/>
  <c r="D2" i="1"/>
  <c r="J2" i="1"/>
  <c r="F2" i="1"/>
  <c r="E2" i="1"/>
</calcChain>
</file>

<file path=xl/sharedStrings.xml><?xml version="1.0" encoding="utf-8"?>
<sst xmlns="http://schemas.openxmlformats.org/spreadsheetml/2006/main" count="14" uniqueCount="13">
  <si>
    <t>t</t>
  </si>
  <si>
    <t>A_t</t>
  </si>
  <si>
    <t>R_t</t>
  </si>
  <si>
    <t>ΣR(1)</t>
  </si>
  <si>
    <t>ΣR(2)</t>
  </si>
  <si>
    <t>ΣR(3)</t>
  </si>
  <si>
    <t>N(1)</t>
  </si>
  <si>
    <t>N(2)</t>
  </si>
  <si>
    <t>N(3)</t>
  </si>
  <si>
    <t>Q(1)</t>
  </si>
  <si>
    <t>Q(2)</t>
  </si>
  <si>
    <t>Q(3)</t>
  </si>
  <si>
    <t>Regret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</si>
</sst>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Q-values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'Main Table'!$J$1</c:f>
              <c:strCache>
                <c:ptCount val="1"/>
                <c:pt idx="0">
                  <c:v>Q(1)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'Main Table'!$A$2:$A$7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'Main Table'!$J$2:$J$7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3A-7547-AB14-F870C830369E}"/>
            </c:ext>
          </c:extLst>
        </c:ser>
        <c:ser>
          <c:idx val="1"/>
          <c:order val="1"/>
          <c:tx>
            <c:strRef>
              <c:f>'Main Table'!$K$1</c:f>
              <c:strCache>
                <c:ptCount val="1"/>
                <c:pt idx="0">
                  <c:v>Q(2)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'Main Table'!$A$2:$A$7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'Main Table'!$K$2:$K$7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3A-7547-AB14-F870C830369E}"/>
            </c:ext>
          </c:extLst>
        </c:ser>
        <c:ser>
          <c:idx val="2"/>
          <c:order val="2"/>
          <c:tx>
            <c:strRef>
              <c:f>'Main Table'!$L$1</c:f>
              <c:strCache>
                <c:ptCount val="1"/>
                <c:pt idx="0">
                  <c:v>Q(3)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'Main Table'!$A$2:$A$7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'Main Table'!$L$2:$L$7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23A-7547-AB14-F870C830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(t)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Q-value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058414464534085"/>
          <c:y val="0.3070596056759396"/>
          <c:w val="9.5771905424200277E-2"/>
          <c:h val="0.1431365175659111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Regret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Regret!$B$1</c:f>
              <c:strCache>
                <c:ptCount val="1"/>
                <c:pt idx="0">
                  <c:v>Regret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Regret!$A$2:$A$7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Regret!$B$2:$B$7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3D-D646-9308-2B956C691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Time (t)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Regret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31300" cy="4813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578600" cy="4165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I6" sqref="I6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1</v>
      </c>
      <c r="D2">
        <f>SUMIF(B1:B$2,1,C1:C$2)</f>
        <v>0</v>
      </c>
      <c r="E2">
        <f>SUMIF(B1:B$2,2,C1:C$2)</f>
        <v>0</v>
      </c>
      <c r="F2">
        <f>SUMIF(B1:B$2,3,C1:C$2)</f>
        <v>0</v>
      </c>
      <c r="G2">
        <f>COUNTIF(B1:B$2,1)</f>
        <v>1</v>
      </c>
      <c r="H2">
        <f>COUNTIF(B1:B$2,2)</f>
        <v>0</v>
      </c>
      <c r="I2">
        <f>COUNTIF(B1:B$2,3)</f>
        <v>0</v>
      </c>
      <c r="J2">
        <f t="shared" ref="J2:L7" si="0">IF(G2=0,0,D2/G2)</f>
        <v>0</v>
      </c>
      <c r="K2">
        <f t="shared" si="0"/>
        <v>0</v>
      </c>
      <c r="L2">
        <f t="shared" si="0"/>
        <v>0</v>
      </c>
    </row>
    <row r="3" spans="1:12" x14ac:dyDescent="0.2">
      <c r="A3">
        <v>1</v>
      </c>
      <c r="B3">
        <v>2</v>
      </c>
      <c r="C3">
        <v>1</v>
      </c>
      <c r="D3">
        <f>SUMIF(B$2:B2,1,C$2:C2)</f>
        <v>0</v>
      </c>
      <c r="E3">
        <f>SUMIF(B$2:B2,2,C$2:C2)</f>
        <v>0</v>
      </c>
      <c r="F3">
        <f>SUMIF(B$2:B2,3,C$2:C2)</f>
        <v>0</v>
      </c>
      <c r="G3">
        <f>COUNTIF(B$2:B2,1)</f>
        <v>1</v>
      </c>
      <c r="H3">
        <f>COUNTIF(B$2:B2,2)</f>
        <v>0</v>
      </c>
      <c r="I3">
        <f>COUNTIF(B$2:B2,3)</f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2">
      <c r="A4">
        <v>2</v>
      </c>
      <c r="B4">
        <v>2</v>
      </c>
      <c r="C4">
        <v>0</v>
      </c>
      <c r="D4">
        <f>SUMIF(B$2:B3,1,C$2:C3)</f>
        <v>0</v>
      </c>
      <c r="E4">
        <f>SUMIF(B$2:B3,2,C$2:C3)</f>
        <v>1</v>
      </c>
      <c r="F4">
        <f>SUMIF(B$2:B3,3,C$2:C3)</f>
        <v>0</v>
      </c>
      <c r="G4">
        <f>COUNTIF(B$2:B3,1)</f>
        <v>1</v>
      </c>
      <c r="H4">
        <f>COUNTIF(B$2:B3,2)</f>
        <v>1</v>
      </c>
      <c r="I4">
        <f>COUNTIF(B$2:B3,3)</f>
        <v>0</v>
      </c>
      <c r="J4">
        <f t="shared" si="0"/>
        <v>0</v>
      </c>
      <c r="K4">
        <f t="shared" si="0"/>
        <v>1</v>
      </c>
      <c r="L4">
        <f t="shared" si="0"/>
        <v>0</v>
      </c>
    </row>
    <row r="5" spans="1:12" x14ac:dyDescent="0.2">
      <c r="A5">
        <v>3</v>
      </c>
      <c r="B5">
        <v>1</v>
      </c>
      <c r="C5">
        <v>-1</v>
      </c>
      <c r="D5">
        <f>SUMIF(B$2:B4,1,C$2:C4)</f>
        <v>0</v>
      </c>
      <c r="E5">
        <f>SUMIF(B$2:B4,2,C$2:C4)</f>
        <v>1</v>
      </c>
      <c r="F5">
        <f>SUMIF(B$2:B4,3,C$2:C4)</f>
        <v>0</v>
      </c>
      <c r="G5">
        <f>COUNTIF(B$2:B4,1)</f>
        <v>1</v>
      </c>
      <c r="H5">
        <f>COUNTIF(B$2:B4,2)</f>
        <v>2</v>
      </c>
      <c r="I5">
        <f>COUNTIF(B$2:B4,3)</f>
        <v>0</v>
      </c>
      <c r="J5">
        <f t="shared" si="0"/>
        <v>0</v>
      </c>
      <c r="K5">
        <f t="shared" si="0"/>
        <v>0.5</v>
      </c>
      <c r="L5">
        <f t="shared" si="0"/>
        <v>0</v>
      </c>
    </row>
    <row r="6" spans="1:12" x14ac:dyDescent="0.2">
      <c r="A6">
        <v>4</v>
      </c>
      <c r="B6">
        <v>3</v>
      </c>
      <c r="C6">
        <v>2</v>
      </c>
      <c r="D6">
        <f>SUMIF(B$2:B5,1,C$2:C5)</f>
        <v>-1</v>
      </c>
      <c r="E6">
        <f>SUMIF(B$2:B5,2,C$2:C5)</f>
        <v>1</v>
      </c>
      <c r="F6">
        <f>SUMIF(B$2:B5,3,C$2:C5)</f>
        <v>0</v>
      </c>
      <c r="G6">
        <f>COUNTIF(B$2:B5,1)</f>
        <v>2</v>
      </c>
      <c r="H6">
        <f>COUNTIF(B$2:B5,2)</f>
        <v>2</v>
      </c>
      <c r="I6">
        <f>COUNTIF(B$2:B5,3)</f>
        <v>0</v>
      </c>
      <c r="J6">
        <f t="shared" si="0"/>
        <v>-0.5</v>
      </c>
      <c r="K6">
        <f t="shared" si="0"/>
        <v>0.5</v>
      </c>
      <c r="L6">
        <f t="shared" si="0"/>
        <v>0</v>
      </c>
    </row>
    <row r="7" spans="1:12" x14ac:dyDescent="0.2">
      <c r="A7">
        <v>5</v>
      </c>
      <c r="C7">
        <v>3</v>
      </c>
      <c r="D7">
        <f>SUMIF(B$2:B6,1,C$2:C6)</f>
        <v>-1</v>
      </c>
      <c r="E7">
        <f>SUMIF(B$2:B6,2,C$2:C6)</f>
        <v>1</v>
      </c>
      <c r="F7">
        <f>SUMIF(B$2:B6,3,C$2:C6)</f>
        <v>2</v>
      </c>
      <c r="G7">
        <f>COUNTIF(B$2:B6,1)</f>
        <v>2</v>
      </c>
      <c r="H7">
        <f>COUNTIF(B$2:B6,2)</f>
        <v>2</v>
      </c>
      <c r="I7">
        <f>COUNTIF(B$2:B6,3)</f>
        <v>1</v>
      </c>
      <c r="J7">
        <f t="shared" si="0"/>
        <v>-0.5</v>
      </c>
      <c r="K7">
        <f t="shared" si="0"/>
        <v>0.5</v>
      </c>
      <c r="L7">
        <f t="shared" si="0"/>
        <v>2</v>
      </c>
    </row>
  </sheetData>
  <pageMargins left="0.75" right="0.75" top="1" bottom="1" header="0.5" footer="0.5"/>
  <ignoredErrors>
    <ignoredError sqref="G4:G6 H4:H6 I4:I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O14" sqref="O14"/>
    </sheetView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Q22" sqref="Q22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12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</v>
      </c>
    </row>
    <row r="4" spans="1:2" x14ac:dyDescent="0.2">
      <c r="A4">
        <v>2</v>
      </c>
      <c r="B4">
        <v>3</v>
      </c>
    </row>
    <row r="5" spans="1:2" x14ac:dyDescent="0.2">
      <c r="A5">
        <v>3</v>
      </c>
      <c r="B5">
        <v>4</v>
      </c>
    </row>
    <row r="6" spans="1:2" x14ac:dyDescent="0.2">
      <c r="A6">
        <v>4</v>
      </c>
      <c r="B6">
        <v>1</v>
      </c>
    </row>
    <row r="7" spans="1:2" x14ac:dyDescent="0.2">
      <c r="A7">
        <v>5</v>
      </c>
      <c r="B7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Table</vt:lpstr>
      <vt:lpstr>Q Chart</vt:lpstr>
      <vt:lpstr>Regret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2026-04-30T02:41:16Z</dcterms:created>
  <dcterms:modified xsi:type="dcterms:W3CDTF">2026-04-30T05:05:54Z</dcterms:modified>
</cp:coreProperties>
</file>